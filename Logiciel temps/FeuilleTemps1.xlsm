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tilisateur\Desktop\Logiciel temps\"/>
    </mc:Choice>
  </mc:AlternateContent>
  <xr:revisionPtr revIDLastSave="0" documentId="13_ncr:1_{C0613964-0FE0-4DEE-977A-A29BE4700704}" xr6:coauthVersionLast="45" xr6:coauthVersionMax="45" xr10:uidLastSave="{00000000-0000-0000-0000-000000000000}"/>
  <bookViews>
    <workbookView xWindow="29055" yWindow="1170" windowWidth="19005" windowHeight="13980" tabRatio="494" firstSheet="4" activeTab="12" xr2:uid="{00000000-000D-0000-FFFF-FFFF00000000}"/>
  </bookViews>
  <sheets>
    <sheet name="52" sheetId="514" r:id="rId1"/>
    <sheet name="51" sheetId="513" r:id="rId2"/>
    <sheet name="50" sheetId="512" r:id="rId3"/>
    <sheet name="49" sheetId="511" r:id="rId4"/>
    <sheet name="48" sheetId="510" r:id="rId5"/>
    <sheet name="47" sheetId="509" r:id="rId6"/>
    <sheet name="46" sheetId="508" r:id="rId7"/>
    <sheet name="45" sheetId="507" r:id="rId8"/>
    <sheet name="44" sheetId="506" r:id="rId9"/>
    <sheet name="43" sheetId="505" r:id="rId10"/>
    <sheet name="42" sheetId="504" r:id="rId11"/>
    <sheet name="41" sheetId="503" r:id="rId12"/>
    <sheet name="40" sheetId="502" r:id="rId13"/>
    <sheet name="39" sheetId="501" r:id="rId14"/>
    <sheet name="38" sheetId="500" r:id="rId15"/>
    <sheet name="37" sheetId="499" r:id="rId16"/>
    <sheet name="36" sheetId="498" r:id="rId17"/>
    <sheet name="35" sheetId="497" r:id="rId18"/>
    <sheet name="34" sheetId="496" r:id="rId19"/>
    <sheet name="33" sheetId="495" r:id="rId20"/>
    <sheet name="32" sheetId="494" r:id="rId21"/>
    <sheet name="31" sheetId="493" r:id="rId22"/>
    <sheet name="30" sheetId="492" r:id="rId23"/>
    <sheet name="29" sheetId="491" r:id="rId24"/>
    <sheet name="28" sheetId="490" r:id="rId25"/>
    <sheet name="27" sheetId="489" r:id="rId26"/>
    <sheet name="26" sheetId="488" r:id="rId27"/>
    <sheet name="25" sheetId="487" r:id="rId28"/>
    <sheet name="24" sheetId="486" r:id="rId29"/>
    <sheet name="23" sheetId="485" r:id="rId30"/>
    <sheet name="22" sheetId="484" r:id="rId31"/>
    <sheet name="21" sheetId="483" r:id="rId32"/>
    <sheet name="20" sheetId="482" r:id="rId33"/>
    <sheet name="19" sheetId="481" r:id="rId34"/>
    <sheet name="18" sheetId="480" r:id="rId35"/>
    <sheet name="17" sheetId="479" r:id="rId36"/>
    <sheet name="16" sheetId="478" r:id="rId37"/>
    <sheet name="15" sheetId="477" r:id="rId38"/>
    <sheet name="14" sheetId="476" r:id="rId39"/>
    <sheet name="13" sheetId="475" r:id="rId40"/>
    <sheet name="12" sheetId="474" r:id="rId41"/>
    <sheet name="11" sheetId="469" r:id="rId42"/>
    <sheet name="10" sheetId="470" r:id="rId43"/>
    <sheet name="09" sheetId="471" r:id="rId44"/>
    <sheet name="08" sheetId="472" r:id="rId45"/>
    <sheet name="07" sheetId="473" r:id="rId46"/>
    <sheet name="06" sheetId="465" r:id="rId47"/>
    <sheet name="05" sheetId="464" r:id="rId48"/>
    <sheet name="04" sheetId="461" r:id="rId49"/>
    <sheet name="03" sheetId="466" r:id="rId50"/>
    <sheet name="02" sheetId="467" r:id="rId51"/>
    <sheet name="01" sheetId="468" r:id="rId52"/>
    <sheet name="Feuil1" sheetId="515" r:id="rId53"/>
  </sheets>
  <externalReferences>
    <externalReference r:id="rId54"/>
  </externalReferences>
  <definedNames>
    <definedName name="Remplit_Ligne" localSheetId="51">[1]!Remplit_Ligne</definedName>
    <definedName name="Remplit_Ligne" localSheetId="50">[1]!Remplit_Ligne</definedName>
    <definedName name="Remplit_Ligne" localSheetId="49">[1]!Remplit_Ligne</definedName>
    <definedName name="Remplit_Ligne" localSheetId="48">[1]!Remplit_Ligne</definedName>
    <definedName name="Remplit_Ligne" localSheetId="47">[1]!Remplit_Ligne</definedName>
    <definedName name="Remplit_Ligne" localSheetId="46">[1]!Remplit_Ligne</definedName>
    <definedName name="Remplit_Ligne" localSheetId="45">[1]!Remplit_Ligne</definedName>
    <definedName name="Remplit_Ligne" localSheetId="44">[1]!Remplit_Ligne</definedName>
    <definedName name="Remplit_Ligne" localSheetId="43">[1]!Remplit_Ligne</definedName>
    <definedName name="Remplit_Ligne" localSheetId="42">[1]!Remplit_Ligne</definedName>
    <definedName name="Remplit_Ligne" localSheetId="41">[1]!Remplit_Ligne</definedName>
    <definedName name="Remplit_Ligne" localSheetId="40">[1]!Remplit_Ligne</definedName>
    <definedName name="Remplit_Ligne" localSheetId="39">[1]!Remplit_Ligne</definedName>
    <definedName name="Remplit_Ligne" localSheetId="38">[1]!Remplit_Ligne</definedName>
    <definedName name="Remplit_Ligne" localSheetId="37">[1]!Remplit_Ligne</definedName>
    <definedName name="Remplit_Ligne" localSheetId="36">[1]!Remplit_Ligne</definedName>
    <definedName name="Remplit_Ligne" localSheetId="35">[1]!Remplit_Ligne</definedName>
    <definedName name="Remplit_Ligne" localSheetId="34">[1]!Remplit_Ligne</definedName>
    <definedName name="Remplit_Ligne" localSheetId="33">[1]!Remplit_Ligne</definedName>
    <definedName name="Remplit_Ligne" localSheetId="32">[1]!Remplit_Ligne</definedName>
    <definedName name="Remplit_Ligne" localSheetId="31">[1]!Remplit_Ligne</definedName>
    <definedName name="Remplit_Ligne" localSheetId="30">[1]!Remplit_Ligne</definedName>
    <definedName name="Remplit_Ligne" localSheetId="29">[1]!Remplit_Ligne</definedName>
    <definedName name="Remplit_Ligne" localSheetId="28">[1]!Remplit_Ligne</definedName>
    <definedName name="Remplit_Ligne" localSheetId="27">[1]!Remplit_Ligne</definedName>
    <definedName name="Remplit_Ligne" localSheetId="26">[1]!Remplit_Ligne</definedName>
    <definedName name="Remplit_Ligne" localSheetId="25">[1]!Remplit_Ligne</definedName>
    <definedName name="Remplit_Ligne" localSheetId="24">[1]!Remplit_Ligne</definedName>
    <definedName name="Remplit_Ligne" localSheetId="23">[1]!Remplit_Ligne</definedName>
    <definedName name="Remplit_Ligne" localSheetId="22">[1]!Remplit_Ligne</definedName>
    <definedName name="Remplit_Ligne" localSheetId="21">[1]!Remplit_Ligne</definedName>
    <definedName name="Remplit_Ligne" localSheetId="20">[1]!Remplit_Ligne</definedName>
    <definedName name="Remplit_Ligne" localSheetId="19">[1]!Remplit_Ligne</definedName>
    <definedName name="Remplit_Ligne" localSheetId="18">[1]!Remplit_Ligne</definedName>
    <definedName name="Remplit_Ligne" localSheetId="17">[1]!Remplit_Ligne</definedName>
    <definedName name="Remplit_Ligne" localSheetId="16">[1]!Remplit_Ligne</definedName>
    <definedName name="Remplit_Ligne" localSheetId="15">[1]!Remplit_Ligne</definedName>
    <definedName name="Remplit_Ligne" localSheetId="14">[1]!Remplit_Ligne</definedName>
    <definedName name="Remplit_Ligne" localSheetId="13">[1]!Remplit_Ligne</definedName>
    <definedName name="Remplit_Ligne" localSheetId="12">[1]!Remplit_Ligne</definedName>
    <definedName name="Remplit_Ligne" localSheetId="11">[1]!Remplit_Ligne</definedName>
    <definedName name="Remplit_Ligne" localSheetId="10">[1]!Remplit_Ligne</definedName>
    <definedName name="Remplit_Ligne" localSheetId="9">[1]!Remplit_Ligne</definedName>
    <definedName name="Remplit_Ligne" localSheetId="8">[1]!Remplit_Ligne</definedName>
    <definedName name="Remplit_Ligne" localSheetId="7">[1]!Remplit_Ligne</definedName>
    <definedName name="Remplit_Ligne" localSheetId="6">[1]!Remplit_Ligne</definedName>
    <definedName name="Remplit_Ligne" localSheetId="5">[1]!Remplit_Ligne</definedName>
    <definedName name="Remplit_Ligne" localSheetId="4">[1]!Remplit_Ligne</definedName>
    <definedName name="Remplit_Ligne" localSheetId="3">[1]!Remplit_Ligne</definedName>
    <definedName name="Remplit_Ligne" localSheetId="2">[1]!Remplit_Ligne</definedName>
    <definedName name="Remplit_Ligne" localSheetId="1">[1]!Remplit_Ligne</definedName>
    <definedName name="Remplit_Ligne" localSheetId="0">[1]!Remplit_Ligne</definedName>
    <definedName name="Remplit_Ligne">[1]!Remplit_Ligne</definedName>
    <definedName name="Soudex" localSheetId="51">[1]!TrouveLe</definedName>
    <definedName name="Soudex" localSheetId="50">[1]!TrouveLe</definedName>
    <definedName name="Soudex" localSheetId="49">[1]!TrouveLe</definedName>
    <definedName name="Soudex" localSheetId="48">[1]!TrouveLe</definedName>
    <definedName name="Soudex" localSheetId="47">[1]!TrouveLe</definedName>
    <definedName name="Soudex" localSheetId="46">[1]!TrouveLe</definedName>
    <definedName name="Soudex" localSheetId="45">[1]!TrouveLe</definedName>
    <definedName name="Soudex" localSheetId="44">[1]!TrouveLe</definedName>
    <definedName name="Soudex" localSheetId="43">[1]!TrouveLe</definedName>
    <definedName name="Soudex" localSheetId="42">[1]!TrouveLe</definedName>
    <definedName name="Soudex" localSheetId="41">[1]!TrouveLe</definedName>
    <definedName name="Soudex" localSheetId="40">[1]!TrouveLe</definedName>
    <definedName name="Soudex" localSheetId="39">[1]!TrouveLe</definedName>
    <definedName name="Soudex" localSheetId="38">[1]!TrouveLe</definedName>
    <definedName name="Soudex" localSheetId="37">[1]!TrouveLe</definedName>
    <definedName name="Soudex" localSheetId="36">[1]!TrouveLe</definedName>
    <definedName name="Soudex" localSheetId="35">[1]!TrouveLe</definedName>
    <definedName name="Soudex" localSheetId="34">[1]!TrouveLe</definedName>
    <definedName name="Soudex" localSheetId="33">[1]!TrouveLe</definedName>
    <definedName name="Soudex" localSheetId="32">[1]!TrouveLe</definedName>
    <definedName name="Soudex" localSheetId="31">[1]!TrouveLe</definedName>
    <definedName name="Soudex" localSheetId="30">[1]!TrouveLe</definedName>
    <definedName name="Soudex" localSheetId="29">[1]!TrouveLe</definedName>
    <definedName name="Soudex" localSheetId="28">[1]!TrouveLe</definedName>
    <definedName name="Soudex" localSheetId="27">[1]!TrouveLe</definedName>
    <definedName name="Soudex" localSheetId="26">[1]!TrouveLe</definedName>
    <definedName name="Soudex" localSheetId="25">[1]!TrouveLe</definedName>
    <definedName name="Soudex" localSheetId="24">[1]!TrouveLe</definedName>
    <definedName name="Soudex" localSheetId="23">[1]!TrouveLe</definedName>
    <definedName name="Soudex" localSheetId="22">[1]!TrouveLe</definedName>
    <definedName name="Soudex" localSheetId="21">[1]!TrouveLe</definedName>
    <definedName name="Soudex" localSheetId="20">[1]!TrouveLe</definedName>
    <definedName name="Soudex" localSheetId="19">[1]!TrouveLe</definedName>
    <definedName name="Soudex" localSheetId="18">[1]!TrouveLe</definedName>
    <definedName name="Soudex" localSheetId="17">[1]!TrouveLe</definedName>
    <definedName name="Soudex" localSheetId="16">[1]!TrouveLe</definedName>
    <definedName name="Soudex" localSheetId="15">[1]!TrouveLe</definedName>
    <definedName name="Soudex" localSheetId="14">[1]!TrouveLe</definedName>
    <definedName name="Soudex" localSheetId="13">[1]!TrouveLe</definedName>
    <definedName name="Soudex" localSheetId="12">[1]!TrouveLe</definedName>
    <definedName name="Soudex" localSheetId="11">[1]!TrouveLe</definedName>
    <definedName name="Soudex" localSheetId="10">[1]!TrouveLe</definedName>
    <definedName name="Soudex" localSheetId="9">[1]!TrouveLe</definedName>
    <definedName name="Soudex" localSheetId="8">[1]!TrouveLe</definedName>
    <definedName name="Soudex" localSheetId="7">[1]!TrouveLe</definedName>
    <definedName name="Soudex" localSheetId="6">[1]!TrouveLe</definedName>
    <definedName name="Soudex" localSheetId="5">[1]!TrouveLe</definedName>
    <definedName name="Soudex" localSheetId="4">[1]!TrouveLe</definedName>
    <definedName name="Soudex" localSheetId="3">[1]!TrouveLe</definedName>
    <definedName name="Soudex" localSheetId="2">[1]!TrouveLe</definedName>
    <definedName name="Soudex" localSheetId="1">[1]!TrouveLe</definedName>
    <definedName name="Soudex" localSheetId="0">[1]!TrouveLe</definedName>
    <definedName name="Soudex">[1]!TrouveLe</definedName>
    <definedName name="TrouveLe" localSheetId="51">[1]!TrouveLe</definedName>
    <definedName name="TrouveLe" localSheetId="50">[1]!TrouveLe</definedName>
    <definedName name="TrouveLe" localSheetId="49">[1]!TrouveLe</definedName>
    <definedName name="TrouveLe" localSheetId="48">[1]!TrouveLe</definedName>
    <definedName name="TrouveLe" localSheetId="47">[1]!TrouveLe</definedName>
    <definedName name="TrouveLe" localSheetId="46">[1]!TrouveLe</definedName>
    <definedName name="TrouveLe" localSheetId="45">[1]!TrouveLe</definedName>
    <definedName name="TrouveLe" localSheetId="44">[1]!TrouveLe</definedName>
    <definedName name="TrouveLe" localSheetId="43">[1]!TrouveLe</definedName>
    <definedName name="TrouveLe" localSheetId="42">[1]!TrouveLe</definedName>
    <definedName name="TrouveLe" localSheetId="41">[1]!TrouveLe</definedName>
    <definedName name="TrouveLe" localSheetId="40">[1]!TrouveLe</definedName>
    <definedName name="TrouveLe" localSheetId="39">[1]!TrouveLe</definedName>
    <definedName name="TrouveLe" localSheetId="38">[1]!TrouveLe</definedName>
    <definedName name="TrouveLe" localSheetId="37">[1]!TrouveLe</definedName>
    <definedName name="TrouveLe" localSheetId="36">[1]!TrouveLe</definedName>
    <definedName name="TrouveLe" localSheetId="35">[1]!TrouveLe</definedName>
    <definedName name="TrouveLe" localSheetId="34">[1]!TrouveLe</definedName>
    <definedName name="TrouveLe" localSheetId="33">[1]!TrouveLe</definedName>
    <definedName name="TrouveLe" localSheetId="32">[1]!TrouveLe</definedName>
    <definedName name="TrouveLe" localSheetId="31">[1]!TrouveLe</definedName>
    <definedName name="TrouveLe" localSheetId="30">[1]!TrouveLe</definedName>
    <definedName name="TrouveLe" localSheetId="29">[1]!TrouveLe</definedName>
    <definedName name="TrouveLe" localSheetId="28">[1]!TrouveLe</definedName>
    <definedName name="TrouveLe" localSheetId="27">[1]!TrouveLe</definedName>
    <definedName name="TrouveLe" localSheetId="26">[1]!TrouveLe</definedName>
    <definedName name="TrouveLe" localSheetId="25">[1]!TrouveLe</definedName>
    <definedName name="TrouveLe" localSheetId="24">[1]!TrouveLe</definedName>
    <definedName name="TrouveLe" localSheetId="23">[1]!TrouveLe</definedName>
    <definedName name="TrouveLe" localSheetId="22">[1]!TrouveLe</definedName>
    <definedName name="TrouveLe" localSheetId="21">[1]!TrouveLe</definedName>
    <definedName name="TrouveLe" localSheetId="20">[1]!TrouveLe</definedName>
    <definedName name="TrouveLe" localSheetId="19">[1]!TrouveLe</definedName>
    <definedName name="TrouveLe" localSheetId="18">[1]!TrouveLe</definedName>
    <definedName name="TrouveLe" localSheetId="17">[1]!TrouveLe</definedName>
    <definedName name="TrouveLe" localSheetId="16">[1]!TrouveLe</definedName>
    <definedName name="TrouveLe" localSheetId="15">[1]!TrouveLe</definedName>
    <definedName name="TrouveLe" localSheetId="14">[1]!TrouveLe</definedName>
    <definedName name="TrouveLe" localSheetId="13">[1]!TrouveLe</definedName>
    <definedName name="TrouveLe" localSheetId="12">[1]!TrouveLe</definedName>
    <definedName name="TrouveLe" localSheetId="11">[1]!TrouveLe</definedName>
    <definedName name="TrouveLe" localSheetId="10">[1]!TrouveLe</definedName>
    <definedName name="TrouveLe" localSheetId="9">[1]!TrouveLe</definedName>
    <definedName name="TrouveLe" localSheetId="8">[1]!TrouveLe</definedName>
    <definedName name="TrouveLe" localSheetId="7">[1]!TrouveLe</definedName>
    <definedName name="TrouveLe" localSheetId="6">[1]!TrouveLe</definedName>
    <definedName name="TrouveLe" localSheetId="5">[1]!TrouveLe</definedName>
    <definedName name="TrouveLe" localSheetId="4">[1]!TrouveLe</definedName>
    <definedName name="TrouveLe" localSheetId="3">[1]!TrouveLe</definedName>
    <definedName name="TrouveLe" localSheetId="2">[1]!TrouveLe</definedName>
    <definedName name="TrouveLe" localSheetId="1">[1]!TrouveLe</definedName>
    <definedName name="TrouveLe" localSheetId="0">[1]!TrouveLe</definedName>
    <definedName name="TrouveLe">[1]!TrouveLe</definedName>
  </definedNames>
  <calcPr calcId="191029"/>
</workbook>
</file>

<file path=xl/calcChain.xml><?xml version="1.0" encoding="utf-8"?>
<calcChain xmlns="http://schemas.openxmlformats.org/spreadsheetml/2006/main">
  <c r="A4" i="467" l="1"/>
  <c r="A4" i="468" s="1"/>
  <c r="S9" i="500" l="1"/>
  <c r="A4" i="482" l="1"/>
  <c r="I4" i="514" l="1"/>
  <c r="Q7" i="482"/>
  <c r="D29" i="495"/>
  <c r="F29" i="495"/>
  <c r="H29" i="495"/>
  <c r="J29" i="495"/>
  <c r="L29" i="495"/>
  <c r="N29" i="495"/>
  <c r="E4" i="513"/>
  <c r="E4" i="512" s="1"/>
  <c r="E4" i="511" s="1"/>
  <c r="E4" i="510" s="1"/>
  <c r="A4" i="466"/>
  <c r="A4" i="461"/>
  <c r="A4" i="464"/>
  <c r="A4" i="465"/>
  <c r="A4" i="473"/>
  <c r="A4" i="472"/>
  <c r="A4" i="471"/>
  <c r="A4" i="470"/>
  <c r="A4" i="469"/>
  <c r="A4" i="474"/>
  <c r="A4" i="475"/>
  <c r="A4" i="476"/>
  <c r="A4" i="477"/>
  <c r="A4" i="478"/>
  <c r="A4" i="479"/>
  <c r="A4" i="480"/>
  <c r="A4" i="481"/>
  <c r="A4" i="483"/>
  <c r="A4" i="484"/>
  <c r="A4" i="485"/>
  <c r="A4" i="486"/>
  <c r="A4" i="487"/>
  <c r="A4" i="488"/>
  <c r="A4" i="489"/>
  <c r="A4" i="490"/>
  <c r="A4" i="491"/>
  <c r="A4" i="492"/>
  <c r="A4" i="493"/>
  <c r="A4" i="494"/>
  <c r="A4" i="495"/>
  <c r="A4" i="496"/>
  <c r="A4" i="497"/>
  <c r="A4" i="498"/>
  <c r="A4" i="499"/>
  <c r="A4" i="500"/>
  <c r="A4" i="501"/>
  <c r="A4" i="502"/>
  <c r="A4" i="503"/>
  <c r="A4" i="504"/>
  <c r="A4" i="505"/>
  <c r="A4" i="506"/>
  <c r="A4" i="507"/>
  <c r="A4" i="508"/>
  <c r="A4" i="509"/>
  <c r="A4" i="510"/>
  <c r="A4" i="511"/>
  <c r="A4" i="512"/>
  <c r="A4" i="513"/>
  <c r="N29" i="509"/>
  <c r="L29" i="509"/>
  <c r="J29" i="509"/>
  <c r="H29" i="509"/>
  <c r="Q8" i="487"/>
  <c r="Q27" i="481"/>
  <c r="Q23" i="481"/>
  <c r="Q13" i="481"/>
  <c r="Q9" i="481"/>
  <c r="Q8" i="481"/>
  <c r="J29" i="503"/>
  <c r="Q20" i="501"/>
  <c r="Q16" i="501"/>
  <c r="Q15" i="501"/>
  <c r="Q18" i="501"/>
  <c r="Q18" i="469"/>
  <c r="Q19" i="469"/>
  <c r="Q7" i="461"/>
  <c r="Q8" i="461"/>
  <c r="Q9" i="461"/>
  <c r="Q10" i="461"/>
  <c r="Q11" i="461"/>
  <c r="Q12" i="461"/>
  <c r="Q13" i="461"/>
  <c r="Q14" i="461"/>
  <c r="Q15" i="461"/>
  <c r="Q16" i="461"/>
  <c r="Q17" i="461"/>
  <c r="Q18" i="461"/>
  <c r="Q19" i="461"/>
  <c r="Q20" i="461"/>
  <c r="D29" i="461"/>
  <c r="P29" i="514"/>
  <c r="N29" i="514"/>
  <c r="L29" i="514"/>
  <c r="J29" i="514"/>
  <c r="H29" i="514"/>
  <c r="F29" i="514"/>
  <c r="Q28" i="514"/>
  <c r="Q27" i="514"/>
  <c r="Q26" i="514"/>
  <c r="Q25" i="514"/>
  <c r="Q24" i="514"/>
  <c r="Q23" i="514"/>
  <c r="Q22" i="514"/>
  <c r="Q21" i="514"/>
  <c r="Q20" i="514"/>
  <c r="Q19" i="514"/>
  <c r="Q18" i="514"/>
  <c r="Q17" i="514"/>
  <c r="Q16" i="514"/>
  <c r="Q15" i="514"/>
  <c r="Q14" i="514"/>
  <c r="Q13" i="514"/>
  <c r="Q12" i="514"/>
  <c r="Q11" i="514"/>
  <c r="Q10" i="514"/>
  <c r="Q9" i="514"/>
  <c r="Q8" i="514"/>
  <c r="Q7" i="514"/>
  <c r="P29" i="513"/>
  <c r="N29" i="513"/>
  <c r="L29" i="513"/>
  <c r="J29" i="513"/>
  <c r="H29" i="513"/>
  <c r="F29" i="513"/>
  <c r="D29" i="513"/>
  <c r="Q28" i="513"/>
  <c r="Q27" i="513"/>
  <c r="Q26" i="513"/>
  <c r="Q25" i="513"/>
  <c r="Q24" i="513"/>
  <c r="Q23" i="513"/>
  <c r="Q22" i="513"/>
  <c r="Q21" i="513"/>
  <c r="Q20" i="513"/>
  <c r="Q19" i="513"/>
  <c r="Q18" i="513"/>
  <c r="Q17" i="513"/>
  <c r="Q16" i="513"/>
  <c r="Q15" i="513"/>
  <c r="Q14" i="513"/>
  <c r="Q13" i="513"/>
  <c r="Q12" i="513"/>
  <c r="Q11" i="513"/>
  <c r="Q10" i="513"/>
  <c r="Q9" i="513"/>
  <c r="Q8" i="513"/>
  <c r="Q7" i="513"/>
  <c r="P29" i="512"/>
  <c r="N29" i="512"/>
  <c r="L29" i="512"/>
  <c r="J29" i="512"/>
  <c r="H29" i="512"/>
  <c r="F29" i="512"/>
  <c r="D29" i="512"/>
  <c r="Q28" i="512"/>
  <c r="Q27" i="512"/>
  <c r="Q26" i="512"/>
  <c r="Q25" i="512"/>
  <c r="Q24" i="512"/>
  <c r="Q23" i="512"/>
  <c r="Q22" i="512"/>
  <c r="Q21" i="512"/>
  <c r="Q20" i="512"/>
  <c r="Q19" i="512"/>
  <c r="Q18" i="512"/>
  <c r="Q17" i="512"/>
  <c r="Q16" i="512"/>
  <c r="Q15" i="512"/>
  <c r="Q14" i="512"/>
  <c r="Q13" i="512"/>
  <c r="Q12" i="512"/>
  <c r="Q11" i="512"/>
  <c r="Q10" i="512"/>
  <c r="Q9" i="512"/>
  <c r="Q8" i="512"/>
  <c r="Q7" i="512"/>
  <c r="P29" i="511"/>
  <c r="N29" i="511"/>
  <c r="L29" i="511"/>
  <c r="J29" i="511"/>
  <c r="H29" i="511"/>
  <c r="F29" i="511"/>
  <c r="D29" i="511"/>
  <c r="Q28" i="511"/>
  <c r="Q27" i="511"/>
  <c r="Q26" i="511"/>
  <c r="Q25" i="511"/>
  <c r="Q24" i="511"/>
  <c r="Q23" i="511"/>
  <c r="Q22" i="511"/>
  <c r="Q21" i="511"/>
  <c r="Q20" i="511"/>
  <c r="Q19" i="511"/>
  <c r="Q18" i="511"/>
  <c r="Q17" i="511"/>
  <c r="Q16" i="511"/>
  <c r="Q15" i="511"/>
  <c r="Q14" i="511"/>
  <c r="Q13" i="511"/>
  <c r="Q12" i="511"/>
  <c r="Q11" i="511"/>
  <c r="Q10" i="511"/>
  <c r="Q9" i="511"/>
  <c r="Q8" i="511"/>
  <c r="Q7" i="511"/>
  <c r="P29" i="510"/>
  <c r="N29" i="510"/>
  <c r="L29" i="510"/>
  <c r="J29" i="510"/>
  <c r="H29" i="510"/>
  <c r="F29" i="510"/>
  <c r="D29" i="510"/>
  <c r="Q28" i="510"/>
  <c r="Q27" i="510"/>
  <c r="Q26" i="510"/>
  <c r="Q25" i="510"/>
  <c r="Q24" i="510"/>
  <c r="Q23" i="510"/>
  <c r="Q22" i="510"/>
  <c r="Q21" i="510"/>
  <c r="Q20" i="510"/>
  <c r="Q19" i="510"/>
  <c r="Q18" i="510"/>
  <c r="Q17" i="510"/>
  <c r="Q16" i="510"/>
  <c r="Q15" i="510"/>
  <c r="Q14" i="510"/>
  <c r="Q13" i="510"/>
  <c r="Q12" i="510"/>
  <c r="Q11" i="510"/>
  <c r="Q10" i="510"/>
  <c r="Q9" i="510"/>
  <c r="Q8" i="510"/>
  <c r="Q7" i="510"/>
  <c r="P29" i="509"/>
  <c r="F29" i="509"/>
  <c r="D29" i="509"/>
  <c r="Q28" i="509"/>
  <c r="Q27" i="509"/>
  <c r="Q26" i="509"/>
  <c r="Q25" i="509"/>
  <c r="Q24" i="509"/>
  <c r="Q23" i="509"/>
  <c r="Q22" i="509"/>
  <c r="Q20" i="509"/>
  <c r="Q18" i="509"/>
  <c r="Q17" i="509"/>
  <c r="Q15" i="509"/>
  <c r="Q14" i="509"/>
  <c r="Q12" i="509"/>
  <c r="Q10" i="509"/>
  <c r="Q9" i="509"/>
  <c r="Q8" i="509"/>
  <c r="Q7" i="509"/>
  <c r="P29" i="508"/>
  <c r="N29" i="508"/>
  <c r="L29" i="508"/>
  <c r="J29" i="508"/>
  <c r="H29" i="508"/>
  <c r="F29" i="508"/>
  <c r="D29" i="508"/>
  <c r="Q28" i="508"/>
  <c r="Q27" i="508"/>
  <c r="Q26" i="508"/>
  <c r="Q25" i="508"/>
  <c r="Q24" i="508"/>
  <c r="Q23" i="508"/>
  <c r="Q22" i="508"/>
  <c r="Q21" i="508"/>
  <c r="Q20" i="508"/>
  <c r="Q19" i="508"/>
  <c r="Q18" i="508"/>
  <c r="Q17" i="508"/>
  <c r="Q16" i="508"/>
  <c r="Q15" i="508"/>
  <c r="Q14" i="508"/>
  <c r="Q13" i="508"/>
  <c r="Q12" i="508"/>
  <c r="Q11" i="508"/>
  <c r="Q10" i="508"/>
  <c r="Q9" i="508"/>
  <c r="Q8" i="508"/>
  <c r="Q7" i="508"/>
  <c r="P29" i="507"/>
  <c r="N29" i="507"/>
  <c r="L29" i="507"/>
  <c r="J29" i="507"/>
  <c r="H29" i="507"/>
  <c r="F29" i="507"/>
  <c r="D29" i="507"/>
  <c r="Q28" i="507"/>
  <c r="Q27" i="507"/>
  <c r="Q26" i="507"/>
  <c r="Q25" i="507"/>
  <c r="Q24" i="507"/>
  <c r="Q23" i="507"/>
  <c r="Q22" i="507"/>
  <c r="Q21" i="507"/>
  <c r="Q20" i="507"/>
  <c r="Q19" i="507"/>
  <c r="Q18" i="507"/>
  <c r="Q17" i="507"/>
  <c r="Q16" i="507"/>
  <c r="Q15" i="507"/>
  <c r="Q14" i="507"/>
  <c r="Q13" i="507"/>
  <c r="Q12" i="507"/>
  <c r="Q11" i="507"/>
  <c r="Q10" i="507"/>
  <c r="Q9" i="507"/>
  <c r="Q8" i="507"/>
  <c r="Q7" i="507"/>
  <c r="P29" i="506"/>
  <c r="N29" i="506"/>
  <c r="L29" i="506"/>
  <c r="J29" i="506"/>
  <c r="H29" i="506"/>
  <c r="F29" i="506"/>
  <c r="D29" i="506"/>
  <c r="Q28" i="506"/>
  <c r="Q27" i="506"/>
  <c r="Q26" i="506"/>
  <c r="Q25" i="506"/>
  <c r="Q24" i="506"/>
  <c r="Q23" i="506"/>
  <c r="Q22" i="506"/>
  <c r="Q21" i="506"/>
  <c r="Q20" i="506"/>
  <c r="Q19" i="506"/>
  <c r="Q18" i="506"/>
  <c r="Q17" i="506"/>
  <c r="Q16" i="506"/>
  <c r="Q15" i="506"/>
  <c r="Q14" i="506"/>
  <c r="Q13" i="506"/>
  <c r="Q12" i="506"/>
  <c r="Q11" i="506"/>
  <c r="Q10" i="506"/>
  <c r="Q9" i="506"/>
  <c r="Q8" i="506"/>
  <c r="Q7" i="506"/>
  <c r="P29" i="505"/>
  <c r="N29" i="505"/>
  <c r="L29" i="505"/>
  <c r="J29" i="505"/>
  <c r="H29" i="505"/>
  <c r="F29" i="505"/>
  <c r="D29" i="505"/>
  <c r="Q28" i="505"/>
  <c r="Q27" i="505"/>
  <c r="Q26" i="505"/>
  <c r="Q25" i="505"/>
  <c r="Q24" i="505"/>
  <c r="Q23" i="505"/>
  <c r="Q22" i="505"/>
  <c r="Q21" i="505"/>
  <c r="Q20" i="505"/>
  <c r="Q19" i="505"/>
  <c r="Q18" i="505"/>
  <c r="Q17" i="505"/>
  <c r="Q16" i="505"/>
  <c r="Q15" i="505"/>
  <c r="Q14" i="505"/>
  <c r="Q13" i="505"/>
  <c r="Q12" i="505"/>
  <c r="Q11" i="505"/>
  <c r="Q10" i="505"/>
  <c r="Q9" i="505"/>
  <c r="Q8" i="505"/>
  <c r="Q7" i="505"/>
  <c r="P29" i="504"/>
  <c r="N29" i="504"/>
  <c r="L29" i="504"/>
  <c r="J29" i="504"/>
  <c r="H29" i="504"/>
  <c r="F29" i="504"/>
  <c r="D29" i="504"/>
  <c r="Q28" i="504"/>
  <c r="Q27" i="504"/>
  <c r="Q26" i="504"/>
  <c r="Q25" i="504"/>
  <c r="Q24" i="504"/>
  <c r="Q23" i="504"/>
  <c r="Q22" i="504"/>
  <c r="Q21" i="504"/>
  <c r="Q20" i="504"/>
  <c r="Q19" i="504"/>
  <c r="Q18" i="504"/>
  <c r="Q17" i="504"/>
  <c r="Q16" i="504"/>
  <c r="Q15" i="504"/>
  <c r="Q14" i="504"/>
  <c r="Q13" i="504"/>
  <c r="Q12" i="504"/>
  <c r="Q11" i="504"/>
  <c r="Q10" i="504"/>
  <c r="Q9" i="504"/>
  <c r="Q8" i="504"/>
  <c r="Q7" i="504"/>
  <c r="P29" i="503"/>
  <c r="N29" i="503"/>
  <c r="L29" i="503"/>
  <c r="H29" i="503"/>
  <c r="F29" i="503"/>
  <c r="D29" i="503"/>
  <c r="Q28" i="503"/>
  <c r="Q27" i="503"/>
  <c r="Q26" i="503"/>
  <c r="Q25" i="503"/>
  <c r="Q24" i="503"/>
  <c r="Q23" i="503"/>
  <c r="Q22" i="503"/>
  <c r="Q21" i="503"/>
  <c r="Q20" i="503"/>
  <c r="Q19" i="503"/>
  <c r="Q18" i="503"/>
  <c r="Q17" i="503"/>
  <c r="Q16" i="503"/>
  <c r="Q15" i="503"/>
  <c r="Q14" i="503"/>
  <c r="Q13" i="503"/>
  <c r="Q12" i="503"/>
  <c r="Q11" i="503"/>
  <c r="Q10" i="503"/>
  <c r="Q9" i="503"/>
  <c r="Q8" i="503"/>
  <c r="Q7" i="503"/>
  <c r="P29" i="502"/>
  <c r="N29" i="502"/>
  <c r="L29" i="502"/>
  <c r="J29" i="502"/>
  <c r="H29" i="502"/>
  <c r="F29" i="502"/>
  <c r="D29" i="502"/>
  <c r="Q28" i="502"/>
  <c r="Q27" i="502"/>
  <c r="Q26" i="502"/>
  <c r="Q25" i="502"/>
  <c r="Q24" i="502"/>
  <c r="Q23" i="502"/>
  <c r="Q22" i="502"/>
  <c r="Q21" i="502"/>
  <c r="Q20" i="502"/>
  <c r="Q19" i="502"/>
  <c r="Q18" i="502"/>
  <c r="Q17" i="502"/>
  <c r="Q16" i="502"/>
  <c r="Q15" i="502"/>
  <c r="Q14" i="502"/>
  <c r="Q13" i="502"/>
  <c r="Q12" i="502"/>
  <c r="Q11" i="502"/>
  <c r="Q10" i="502"/>
  <c r="Q9" i="502"/>
  <c r="Q8" i="502"/>
  <c r="Q7" i="502"/>
  <c r="P29" i="501"/>
  <c r="N29" i="501"/>
  <c r="L29" i="501"/>
  <c r="J29" i="501"/>
  <c r="H29" i="501"/>
  <c r="F29" i="501"/>
  <c r="D29" i="501"/>
  <c r="Q28" i="501"/>
  <c r="Q27" i="501"/>
  <c r="Q26" i="501"/>
  <c r="Q25" i="501"/>
  <c r="Q24" i="501"/>
  <c r="Q23" i="501"/>
  <c r="Q22" i="501"/>
  <c r="Q21" i="501"/>
  <c r="Q19" i="501"/>
  <c r="Q17" i="501"/>
  <c r="Q14" i="501"/>
  <c r="Q13" i="501"/>
  <c r="Q12" i="501"/>
  <c r="Q11" i="501"/>
  <c r="Q10" i="501"/>
  <c r="Q9" i="501"/>
  <c r="Q8" i="501"/>
  <c r="Q7" i="501"/>
  <c r="P29" i="500"/>
  <c r="N29" i="500"/>
  <c r="L29" i="500"/>
  <c r="J29" i="500"/>
  <c r="H29" i="500"/>
  <c r="F29" i="500"/>
  <c r="D29" i="500"/>
  <c r="Q28" i="500"/>
  <c r="Q27" i="500"/>
  <c r="Q26" i="500"/>
  <c r="Q24" i="500"/>
  <c r="Q23" i="500"/>
  <c r="Q19" i="500"/>
  <c r="Q18" i="500"/>
  <c r="Q17" i="500"/>
  <c r="Q16" i="500"/>
  <c r="Q15" i="500"/>
  <c r="Q14" i="500"/>
  <c r="Q13" i="500"/>
  <c r="Q12" i="500"/>
  <c r="Q11" i="500"/>
  <c r="Q10" i="500"/>
  <c r="Q9" i="500"/>
  <c r="Q8" i="500"/>
  <c r="Q7" i="500"/>
  <c r="P29" i="499"/>
  <c r="N29" i="499"/>
  <c r="L29" i="499"/>
  <c r="J29" i="499"/>
  <c r="H29" i="499"/>
  <c r="F29" i="499"/>
  <c r="D29" i="499"/>
  <c r="Q28" i="499"/>
  <c r="Q27" i="499"/>
  <c r="Q26" i="499"/>
  <c r="Q25" i="499"/>
  <c r="Q23" i="499"/>
  <c r="Q22" i="499"/>
  <c r="Q21" i="499"/>
  <c r="Q20" i="499"/>
  <c r="Q19" i="499"/>
  <c r="Q18" i="499"/>
  <c r="Q17" i="499"/>
  <c r="Q16" i="499"/>
  <c r="Q15" i="499"/>
  <c r="Q14" i="499"/>
  <c r="Q13" i="499"/>
  <c r="Q12" i="499"/>
  <c r="Q11" i="499"/>
  <c r="Q10" i="499"/>
  <c r="Q9" i="499"/>
  <c r="Q8" i="499"/>
  <c r="Q7" i="499"/>
  <c r="P29" i="498"/>
  <c r="N29" i="498"/>
  <c r="L29" i="498"/>
  <c r="J29" i="498"/>
  <c r="H29" i="498"/>
  <c r="F29" i="498"/>
  <c r="D29" i="498"/>
  <c r="Q28" i="498"/>
  <c r="Q27" i="498"/>
  <c r="Q26" i="498"/>
  <c r="Q25" i="498"/>
  <c r="Q24" i="498"/>
  <c r="Q23" i="498"/>
  <c r="Q22" i="498"/>
  <c r="Q21" i="498"/>
  <c r="Q20" i="498"/>
  <c r="Q19" i="498"/>
  <c r="Q18" i="498"/>
  <c r="Q17" i="498"/>
  <c r="Q16" i="498"/>
  <c r="Q15" i="498"/>
  <c r="Q14" i="498"/>
  <c r="Q13" i="498"/>
  <c r="Q12" i="498"/>
  <c r="Q11" i="498"/>
  <c r="Q10" i="498"/>
  <c r="Q9" i="498"/>
  <c r="Q8" i="498"/>
  <c r="Q7" i="498"/>
  <c r="P29" i="497"/>
  <c r="N29" i="497"/>
  <c r="L29" i="497"/>
  <c r="J29" i="497"/>
  <c r="H29" i="497"/>
  <c r="F29" i="497"/>
  <c r="D29" i="497"/>
  <c r="Q28" i="497"/>
  <c r="Q27" i="497"/>
  <c r="Q26" i="497"/>
  <c r="Q25" i="497"/>
  <c r="Q24" i="497"/>
  <c r="Q23" i="497"/>
  <c r="Q22" i="497"/>
  <c r="Q21" i="497"/>
  <c r="Q20" i="497"/>
  <c r="Q19" i="497"/>
  <c r="Q18" i="497"/>
  <c r="Q17" i="497"/>
  <c r="Q16" i="497"/>
  <c r="Q15" i="497"/>
  <c r="Q14" i="497"/>
  <c r="Q13" i="497"/>
  <c r="Q12" i="497"/>
  <c r="Q11" i="497"/>
  <c r="Q10" i="497"/>
  <c r="Q9" i="497"/>
  <c r="Q8" i="497"/>
  <c r="Q7" i="497"/>
  <c r="P29" i="496"/>
  <c r="N29" i="496"/>
  <c r="L29" i="496"/>
  <c r="J29" i="496"/>
  <c r="H29" i="496"/>
  <c r="F29" i="496"/>
  <c r="D29" i="496"/>
  <c r="Q28" i="496"/>
  <c r="Q27" i="496"/>
  <c r="Q26" i="496"/>
  <c r="Q25" i="496"/>
  <c r="Q24" i="496"/>
  <c r="Q23" i="496"/>
  <c r="Q22" i="496"/>
  <c r="Q21" i="496"/>
  <c r="Q20" i="496"/>
  <c r="Q19" i="496"/>
  <c r="Q18" i="496"/>
  <c r="Q17" i="496"/>
  <c r="Q16" i="496"/>
  <c r="Q15" i="496"/>
  <c r="Q14" i="496"/>
  <c r="Q13" i="496"/>
  <c r="Q12" i="496"/>
  <c r="Q11" i="496"/>
  <c r="Q10" i="496"/>
  <c r="Q9" i="496"/>
  <c r="Q8" i="496"/>
  <c r="Q7" i="496"/>
  <c r="P29" i="495"/>
  <c r="Q28" i="495"/>
  <c r="Q27" i="495"/>
  <c r="Q26" i="495"/>
  <c r="Q25" i="495"/>
  <c r="Q24" i="495"/>
  <c r="Q23" i="495"/>
  <c r="Q22" i="495"/>
  <c r="Q21" i="495"/>
  <c r="Q20" i="495"/>
  <c r="Q19" i="495"/>
  <c r="Q18" i="495"/>
  <c r="Q17" i="495"/>
  <c r="Q16" i="495"/>
  <c r="Q15" i="495"/>
  <c r="Q14" i="495"/>
  <c r="Q13" i="495"/>
  <c r="Q12" i="495"/>
  <c r="Q11" i="495"/>
  <c r="Q10" i="495"/>
  <c r="Q9" i="495"/>
  <c r="Q8" i="495"/>
  <c r="Q7" i="495"/>
  <c r="P29" i="494"/>
  <c r="N29" i="494"/>
  <c r="L29" i="494"/>
  <c r="J29" i="494"/>
  <c r="H29" i="494"/>
  <c r="F29" i="494"/>
  <c r="D29" i="494"/>
  <c r="Q28" i="494"/>
  <c r="Q27" i="494"/>
  <c r="Q26" i="494"/>
  <c r="Q25" i="494"/>
  <c r="Q24" i="494"/>
  <c r="Q23" i="494"/>
  <c r="Q22" i="494"/>
  <c r="Q21" i="494"/>
  <c r="Q20" i="494"/>
  <c r="Q19" i="494"/>
  <c r="Q18" i="494"/>
  <c r="Q17" i="494"/>
  <c r="Q16" i="494"/>
  <c r="Q15" i="494"/>
  <c r="Q14" i="494"/>
  <c r="Q13" i="494"/>
  <c r="Q12" i="494"/>
  <c r="Q11" i="494"/>
  <c r="Q10" i="494"/>
  <c r="Q9" i="494"/>
  <c r="Q8" i="494"/>
  <c r="Q7" i="494"/>
  <c r="P29" i="493"/>
  <c r="N29" i="493"/>
  <c r="L29" i="493"/>
  <c r="J29" i="493"/>
  <c r="H29" i="493"/>
  <c r="F29" i="493"/>
  <c r="D29" i="493"/>
  <c r="Q28" i="493"/>
  <c r="Q27" i="493"/>
  <c r="Q26" i="493"/>
  <c r="Q25" i="493"/>
  <c r="Q24" i="493"/>
  <c r="Q23" i="493"/>
  <c r="Q22" i="493"/>
  <c r="Q21" i="493"/>
  <c r="Q20" i="493"/>
  <c r="Q19" i="493"/>
  <c r="Q18" i="493"/>
  <c r="Q17" i="493"/>
  <c r="Q16" i="493"/>
  <c r="Q15" i="493"/>
  <c r="Q14" i="493"/>
  <c r="Q13" i="493"/>
  <c r="Q12" i="493"/>
  <c r="Q11" i="493"/>
  <c r="Q10" i="493"/>
  <c r="Q9" i="493"/>
  <c r="Q8" i="493"/>
  <c r="Q7" i="493"/>
  <c r="P29" i="492"/>
  <c r="N29" i="492"/>
  <c r="L29" i="492"/>
  <c r="J29" i="492"/>
  <c r="H29" i="492"/>
  <c r="F29" i="492"/>
  <c r="D29" i="492"/>
  <c r="Q28" i="492"/>
  <c r="Q27" i="492"/>
  <c r="Q26" i="492"/>
  <c r="Q25" i="492"/>
  <c r="Q24" i="492"/>
  <c r="Q23" i="492"/>
  <c r="Q22" i="492"/>
  <c r="Q21" i="492"/>
  <c r="Q20" i="492"/>
  <c r="Q19" i="492"/>
  <c r="Q18" i="492"/>
  <c r="Q17" i="492"/>
  <c r="Q16" i="492"/>
  <c r="Q15" i="492"/>
  <c r="Q14" i="492"/>
  <c r="Q13" i="492"/>
  <c r="Q12" i="492"/>
  <c r="Q11" i="492"/>
  <c r="Q10" i="492"/>
  <c r="Q9" i="492"/>
  <c r="Q8" i="492"/>
  <c r="Q7" i="492"/>
  <c r="P29" i="491"/>
  <c r="N29" i="491"/>
  <c r="L29" i="491"/>
  <c r="J29" i="491"/>
  <c r="H29" i="491"/>
  <c r="F29" i="491"/>
  <c r="D29" i="491"/>
  <c r="Q28" i="491"/>
  <c r="Q27" i="491"/>
  <c r="Q26" i="491"/>
  <c r="Q25" i="491"/>
  <c r="Q24" i="491"/>
  <c r="Q23" i="491"/>
  <c r="Q22" i="491"/>
  <c r="Q21" i="491"/>
  <c r="Q20" i="491"/>
  <c r="Q19" i="491"/>
  <c r="Q18" i="491"/>
  <c r="Q17" i="491"/>
  <c r="Q16" i="491"/>
  <c r="Q15" i="491"/>
  <c r="Q14" i="491"/>
  <c r="Q13" i="491"/>
  <c r="Q12" i="491"/>
  <c r="Q11" i="491"/>
  <c r="Q10" i="491"/>
  <c r="Q9" i="491"/>
  <c r="Q8" i="491"/>
  <c r="Q7" i="491"/>
  <c r="P29" i="490"/>
  <c r="N29" i="490"/>
  <c r="L29" i="490"/>
  <c r="J29" i="490"/>
  <c r="H29" i="490"/>
  <c r="F29" i="490"/>
  <c r="D29" i="490"/>
  <c r="Q28" i="490"/>
  <c r="Q27" i="490"/>
  <c r="Q26" i="490"/>
  <c r="Q25" i="490"/>
  <c r="Q24" i="490"/>
  <c r="Q23" i="490"/>
  <c r="Q22" i="490"/>
  <c r="Q21" i="490"/>
  <c r="Q20" i="490"/>
  <c r="Q19" i="490"/>
  <c r="Q18" i="490"/>
  <c r="Q17" i="490"/>
  <c r="Q16" i="490"/>
  <c r="Q15" i="490"/>
  <c r="Q14" i="490"/>
  <c r="Q13" i="490"/>
  <c r="Q12" i="490"/>
  <c r="Q11" i="490"/>
  <c r="Q10" i="490"/>
  <c r="Q9" i="490"/>
  <c r="Q8" i="490"/>
  <c r="Q7" i="490"/>
  <c r="P29" i="489"/>
  <c r="N29" i="489"/>
  <c r="L29" i="489"/>
  <c r="J29" i="489"/>
  <c r="H29" i="489"/>
  <c r="F29" i="489"/>
  <c r="D29" i="489"/>
  <c r="Q28" i="489"/>
  <c r="Q27" i="489"/>
  <c r="Q26" i="489"/>
  <c r="Q25" i="489"/>
  <c r="Q24" i="489"/>
  <c r="Q23" i="489"/>
  <c r="Q22" i="489"/>
  <c r="Q21" i="489"/>
  <c r="Q20" i="489"/>
  <c r="Q19" i="489"/>
  <c r="Q18" i="489"/>
  <c r="Q17" i="489"/>
  <c r="Q16" i="489"/>
  <c r="Q15" i="489"/>
  <c r="Q14" i="489"/>
  <c r="Q13" i="489"/>
  <c r="Q12" i="489"/>
  <c r="Q11" i="489"/>
  <c r="Q10" i="489"/>
  <c r="Q9" i="489"/>
  <c r="Q8" i="489"/>
  <c r="Q7" i="489"/>
  <c r="P29" i="488"/>
  <c r="N29" i="488"/>
  <c r="L29" i="488"/>
  <c r="J29" i="488"/>
  <c r="H29" i="488"/>
  <c r="F29" i="488"/>
  <c r="D29" i="488"/>
  <c r="Q28" i="488"/>
  <c r="Q27" i="488"/>
  <c r="Q26" i="488"/>
  <c r="Q25" i="488"/>
  <c r="Q24" i="488"/>
  <c r="Q23" i="488"/>
  <c r="Q22" i="488"/>
  <c r="Q21" i="488"/>
  <c r="Q20" i="488"/>
  <c r="Q19" i="488"/>
  <c r="Q18" i="488"/>
  <c r="Q17" i="488"/>
  <c r="Q16" i="488"/>
  <c r="Q15" i="488"/>
  <c r="Q14" i="488"/>
  <c r="Q13" i="488"/>
  <c r="Q12" i="488"/>
  <c r="Q11" i="488"/>
  <c r="Q10" i="488"/>
  <c r="Q9" i="488"/>
  <c r="Q8" i="488"/>
  <c r="Q7" i="488"/>
  <c r="P29" i="487"/>
  <c r="N29" i="487"/>
  <c r="L29" i="487"/>
  <c r="J29" i="487"/>
  <c r="H29" i="487"/>
  <c r="F29" i="487"/>
  <c r="D29" i="487"/>
  <c r="Q28" i="487"/>
  <c r="Q27" i="487"/>
  <c r="Q26" i="487"/>
  <c r="Q25" i="487"/>
  <c r="Q24" i="487"/>
  <c r="Q23" i="487"/>
  <c r="Q22" i="487"/>
  <c r="Q21" i="487"/>
  <c r="Q20" i="487"/>
  <c r="Q19" i="487"/>
  <c r="Q18" i="487"/>
  <c r="Q17" i="487"/>
  <c r="Q16" i="487"/>
  <c r="Q15" i="487"/>
  <c r="Q14" i="487"/>
  <c r="Q13" i="487"/>
  <c r="Q12" i="487"/>
  <c r="Q11" i="487"/>
  <c r="Q10" i="487"/>
  <c r="Q9" i="487"/>
  <c r="Q7" i="487"/>
  <c r="P29" i="486"/>
  <c r="N29" i="486"/>
  <c r="L29" i="486"/>
  <c r="J29" i="486"/>
  <c r="H29" i="486"/>
  <c r="F29" i="486"/>
  <c r="D29" i="486"/>
  <c r="Q28" i="486"/>
  <c r="Q27" i="486"/>
  <c r="Q26" i="486"/>
  <c r="Q25" i="486"/>
  <c r="Q24" i="486"/>
  <c r="Q23" i="486"/>
  <c r="Q22" i="486"/>
  <c r="Q21" i="486"/>
  <c r="Q20" i="486"/>
  <c r="Q19" i="486"/>
  <c r="Q18" i="486"/>
  <c r="Q17" i="486"/>
  <c r="Q16" i="486"/>
  <c r="Q15" i="486"/>
  <c r="Q14" i="486"/>
  <c r="Q13" i="486"/>
  <c r="Q12" i="486"/>
  <c r="Q11" i="486"/>
  <c r="Q10" i="486"/>
  <c r="Q9" i="486"/>
  <c r="Q8" i="486"/>
  <c r="Q7" i="486"/>
  <c r="P29" i="485"/>
  <c r="N29" i="485"/>
  <c r="L29" i="485"/>
  <c r="J29" i="485"/>
  <c r="H29" i="485"/>
  <c r="F29" i="485"/>
  <c r="D29" i="485"/>
  <c r="Q28" i="485"/>
  <c r="Q27" i="485"/>
  <c r="Q26" i="485"/>
  <c r="Q25" i="485"/>
  <c r="Q24" i="485"/>
  <c r="Q23" i="485"/>
  <c r="Q22" i="485"/>
  <c r="Q21" i="485"/>
  <c r="Q20" i="485"/>
  <c r="Q19" i="485"/>
  <c r="Q18" i="485"/>
  <c r="Q17" i="485"/>
  <c r="Q16" i="485"/>
  <c r="Q15" i="485"/>
  <c r="Q14" i="485"/>
  <c r="Q13" i="485"/>
  <c r="Q12" i="485"/>
  <c r="Q11" i="485"/>
  <c r="Q10" i="485"/>
  <c r="Q9" i="485"/>
  <c r="Q8" i="485"/>
  <c r="Q7" i="485"/>
  <c r="P29" i="484"/>
  <c r="N29" i="484"/>
  <c r="L29" i="484"/>
  <c r="J29" i="484"/>
  <c r="H29" i="484"/>
  <c r="F29" i="484"/>
  <c r="D29" i="484"/>
  <c r="Q28" i="484"/>
  <c r="Q27" i="484"/>
  <c r="Q26" i="484"/>
  <c r="Q25" i="484"/>
  <c r="Q24" i="484"/>
  <c r="Q23" i="484"/>
  <c r="Q22" i="484"/>
  <c r="Q21" i="484"/>
  <c r="Q20" i="484"/>
  <c r="Q19" i="484"/>
  <c r="Q18" i="484"/>
  <c r="Q17" i="484"/>
  <c r="Q16" i="484"/>
  <c r="Q15" i="484"/>
  <c r="Q14" i="484"/>
  <c r="Q13" i="484"/>
  <c r="Q12" i="484"/>
  <c r="Q11" i="484"/>
  <c r="Q10" i="484"/>
  <c r="Q9" i="484"/>
  <c r="Q8" i="484"/>
  <c r="Q7" i="484"/>
  <c r="P29" i="483"/>
  <c r="N29" i="483"/>
  <c r="L29" i="483"/>
  <c r="J29" i="483"/>
  <c r="H29" i="483"/>
  <c r="F29" i="483"/>
  <c r="D29" i="483"/>
  <c r="Q28" i="483"/>
  <c r="Q27" i="483"/>
  <c r="Q26" i="483"/>
  <c r="Q25" i="483"/>
  <c r="Q24" i="483"/>
  <c r="Q23" i="483"/>
  <c r="Q22" i="483"/>
  <c r="Q21" i="483"/>
  <c r="Q20" i="483"/>
  <c r="Q19" i="483"/>
  <c r="Q18" i="483"/>
  <c r="Q17" i="483"/>
  <c r="Q16" i="483"/>
  <c r="Q15" i="483"/>
  <c r="Q14" i="483"/>
  <c r="Q13" i="483"/>
  <c r="Q12" i="483"/>
  <c r="Q11" i="483"/>
  <c r="Q10" i="483"/>
  <c r="Q9" i="483"/>
  <c r="Q8" i="483"/>
  <c r="Q7" i="483"/>
  <c r="P29" i="482"/>
  <c r="N29" i="482"/>
  <c r="L29" i="482"/>
  <c r="J29" i="482"/>
  <c r="H29" i="482"/>
  <c r="F29" i="482"/>
  <c r="D29" i="482"/>
  <c r="Q28" i="482"/>
  <c r="Q27" i="482"/>
  <c r="Q26" i="482"/>
  <c r="Q25" i="482"/>
  <c r="Q24" i="482"/>
  <c r="Q23" i="482"/>
  <c r="Q22" i="482"/>
  <c r="Q21" i="482"/>
  <c r="Q20" i="482"/>
  <c r="Q19" i="482"/>
  <c r="Q18" i="482"/>
  <c r="Q17" i="482"/>
  <c r="Q16" i="482"/>
  <c r="Q15" i="482"/>
  <c r="Q14" i="482"/>
  <c r="Q13" i="482"/>
  <c r="Q12" i="482"/>
  <c r="Q11" i="482"/>
  <c r="Q10" i="482"/>
  <c r="Q9" i="482"/>
  <c r="Q8" i="482"/>
  <c r="P29" i="481"/>
  <c r="N29" i="481"/>
  <c r="L29" i="481"/>
  <c r="J29" i="481"/>
  <c r="H29" i="481"/>
  <c r="F29" i="481"/>
  <c r="D29" i="481"/>
  <c r="Q28" i="481"/>
  <c r="Q26" i="481"/>
  <c r="Q25" i="481"/>
  <c r="Q24" i="481"/>
  <c r="Q22" i="481"/>
  <c r="Q21" i="481"/>
  <c r="Q20" i="481"/>
  <c r="Q19" i="481"/>
  <c r="Q18" i="481"/>
  <c r="Q17" i="481"/>
  <c r="Q16" i="481"/>
  <c r="Q15" i="481"/>
  <c r="Q14" i="481"/>
  <c r="Q12" i="481"/>
  <c r="Q11" i="481"/>
  <c r="Q10" i="481"/>
  <c r="Q7" i="481"/>
  <c r="P29" i="480"/>
  <c r="N29" i="480"/>
  <c r="L29" i="480"/>
  <c r="J29" i="480"/>
  <c r="H29" i="480"/>
  <c r="F29" i="480"/>
  <c r="D29" i="480"/>
  <c r="Q28" i="480"/>
  <c r="Q27" i="480"/>
  <c r="Q26" i="480"/>
  <c r="Q25" i="480"/>
  <c r="Q24" i="480"/>
  <c r="Q23" i="480"/>
  <c r="Q22" i="480"/>
  <c r="Q21" i="480"/>
  <c r="Q20" i="480"/>
  <c r="Q19" i="480"/>
  <c r="Q18" i="480"/>
  <c r="Q17" i="480"/>
  <c r="Q16" i="480"/>
  <c r="Q15" i="480"/>
  <c r="Q14" i="480"/>
  <c r="Q13" i="480"/>
  <c r="Q12" i="480"/>
  <c r="Q11" i="480"/>
  <c r="Q10" i="480"/>
  <c r="Q9" i="480"/>
  <c r="Q8" i="480"/>
  <c r="Q7" i="480"/>
  <c r="P29" i="479"/>
  <c r="N29" i="479"/>
  <c r="L29" i="479"/>
  <c r="J29" i="479"/>
  <c r="H29" i="479"/>
  <c r="F29" i="479"/>
  <c r="D29" i="479"/>
  <c r="Q28" i="479"/>
  <c r="Q27" i="479"/>
  <c r="Q26" i="479"/>
  <c r="Q25" i="479"/>
  <c r="Q24" i="479"/>
  <c r="Q23" i="479"/>
  <c r="Q22" i="479"/>
  <c r="Q21" i="479"/>
  <c r="Q20" i="479"/>
  <c r="Q19" i="479"/>
  <c r="Q18" i="479"/>
  <c r="Q17" i="479"/>
  <c r="Q16" i="479"/>
  <c r="Q15" i="479"/>
  <c r="Q14" i="479"/>
  <c r="Q13" i="479"/>
  <c r="Q12" i="479"/>
  <c r="Q11" i="479"/>
  <c r="Q10" i="479"/>
  <c r="Q9" i="479"/>
  <c r="Q8" i="479"/>
  <c r="Q7" i="479"/>
  <c r="P29" i="478"/>
  <c r="N29" i="478"/>
  <c r="L29" i="478"/>
  <c r="J29" i="478"/>
  <c r="H29" i="478"/>
  <c r="F29" i="478"/>
  <c r="D29" i="478"/>
  <c r="Q28" i="478"/>
  <c r="Q27" i="478"/>
  <c r="Q26" i="478"/>
  <c r="Q25" i="478"/>
  <c r="Q24" i="478"/>
  <c r="Q23" i="478"/>
  <c r="Q22" i="478"/>
  <c r="Q21" i="478"/>
  <c r="Q20" i="478"/>
  <c r="Q19" i="478"/>
  <c r="Q18" i="478"/>
  <c r="Q17" i="478"/>
  <c r="Q16" i="478"/>
  <c r="Q15" i="478"/>
  <c r="Q14" i="478"/>
  <c r="Q13" i="478"/>
  <c r="Q12" i="478"/>
  <c r="Q11" i="478"/>
  <c r="Q10" i="478"/>
  <c r="Q9" i="478"/>
  <c r="Q8" i="478"/>
  <c r="Q7" i="478"/>
  <c r="P29" i="477"/>
  <c r="N29" i="477"/>
  <c r="L29" i="477"/>
  <c r="J29" i="477"/>
  <c r="H29" i="477"/>
  <c r="F29" i="477"/>
  <c r="D29" i="477"/>
  <c r="Q28" i="477"/>
  <c r="Q27" i="477"/>
  <c r="Q26" i="477"/>
  <c r="Q25" i="477"/>
  <c r="Q24" i="477"/>
  <c r="Q23" i="477"/>
  <c r="Q22" i="477"/>
  <c r="Q21" i="477"/>
  <c r="Q20" i="477"/>
  <c r="Q19" i="477"/>
  <c r="Q18" i="477"/>
  <c r="Q17" i="477"/>
  <c r="Q16" i="477"/>
  <c r="Q15" i="477"/>
  <c r="Q14" i="477"/>
  <c r="Q13" i="477"/>
  <c r="Q12" i="477"/>
  <c r="Q11" i="477"/>
  <c r="Q10" i="477"/>
  <c r="Q9" i="477"/>
  <c r="Q8" i="477"/>
  <c r="Q7" i="477"/>
  <c r="P29" i="476"/>
  <c r="N29" i="476"/>
  <c r="L29" i="476"/>
  <c r="J29" i="476"/>
  <c r="H29" i="476"/>
  <c r="F29" i="476"/>
  <c r="D29" i="476"/>
  <c r="Q28" i="476"/>
  <c r="Q27" i="476"/>
  <c r="Q26" i="476"/>
  <c r="Q25" i="476"/>
  <c r="Q24" i="476"/>
  <c r="Q23" i="476"/>
  <c r="Q22" i="476"/>
  <c r="Q21" i="476"/>
  <c r="Q20" i="476"/>
  <c r="Q19" i="476"/>
  <c r="Q18" i="476"/>
  <c r="Q17" i="476"/>
  <c r="Q16" i="476"/>
  <c r="Q15" i="476"/>
  <c r="Q14" i="476"/>
  <c r="Q13" i="476"/>
  <c r="Q12" i="476"/>
  <c r="Q11" i="476"/>
  <c r="Q10" i="476"/>
  <c r="Q9" i="476"/>
  <c r="Q8" i="476"/>
  <c r="Q7" i="476"/>
  <c r="P29" i="475"/>
  <c r="N29" i="475"/>
  <c r="L29" i="475"/>
  <c r="J29" i="475"/>
  <c r="H29" i="475"/>
  <c r="F29" i="475"/>
  <c r="D29" i="475"/>
  <c r="Q28" i="475"/>
  <c r="Q27" i="475"/>
  <c r="Q26" i="475"/>
  <c r="Q25" i="475"/>
  <c r="Q24" i="475"/>
  <c r="Q23" i="475"/>
  <c r="Q22" i="475"/>
  <c r="Q21" i="475"/>
  <c r="Q20" i="475"/>
  <c r="Q19" i="475"/>
  <c r="Q18" i="475"/>
  <c r="Q17" i="475"/>
  <c r="Q16" i="475"/>
  <c r="Q15" i="475"/>
  <c r="Q14" i="475"/>
  <c r="Q13" i="475"/>
  <c r="Q12" i="475"/>
  <c r="Q11" i="475"/>
  <c r="Q10" i="475"/>
  <c r="Q9" i="475"/>
  <c r="Q8" i="475"/>
  <c r="Q7" i="475"/>
  <c r="P29" i="474"/>
  <c r="N29" i="474"/>
  <c r="L29" i="474"/>
  <c r="J29" i="474"/>
  <c r="H29" i="474"/>
  <c r="F29" i="474"/>
  <c r="D29" i="474"/>
  <c r="Q28" i="474"/>
  <c r="Q27" i="474"/>
  <c r="Q26" i="474"/>
  <c r="Q25" i="474"/>
  <c r="Q24" i="474"/>
  <c r="Q23" i="474"/>
  <c r="Q22" i="474"/>
  <c r="Q21" i="474"/>
  <c r="Q20" i="474"/>
  <c r="Q19" i="474"/>
  <c r="Q18" i="474"/>
  <c r="Q17" i="474"/>
  <c r="Q16" i="474"/>
  <c r="Q15" i="474"/>
  <c r="Q14" i="474"/>
  <c r="Q13" i="474"/>
  <c r="Q12" i="474"/>
  <c r="Q11" i="474"/>
  <c r="Q10" i="474"/>
  <c r="Q9" i="474"/>
  <c r="Q8" i="474"/>
  <c r="Q7" i="474"/>
  <c r="P29" i="473"/>
  <c r="N29" i="473"/>
  <c r="L29" i="473"/>
  <c r="J29" i="473"/>
  <c r="H29" i="473"/>
  <c r="F29" i="473"/>
  <c r="D29" i="473"/>
  <c r="Q28" i="473"/>
  <c r="Q27" i="473"/>
  <c r="Q26" i="473"/>
  <c r="Q25" i="473"/>
  <c r="Q24" i="473"/>
  <c r="Q23" i="473"/>
  <c r="Q22" i="473"/>
  <c r="Q21" i="473"/>
  <c r="Q20" i="473"/>
  <c r="Q19" i="473"/>
  <c r="Q18" i="473"/>
  <c r="Q17" i="473"/>
  <c r="Q16" i="473"/>
  <c r="Q15" i="473"/>
  <c r="Q14" i="473"/>
  <c r="Q13" i="473"/>
  <c r="Q12" i="473"/>
  <c r="Q11" i="473"/>
  <c r="Q10" i="473"/>
  <c r="Q9" i="473"/>
  <c r="Q8" i="473"/>
  <c r="Q7" i="473"/>
  <c r="P29" i="472"/>
  <c r="N29" i="472"/>
  <c r="L29" i="472"/>
  <c r="J29" i="472"/>
  <c r="H29" i="472"/>
  <c r="F29" i="472"/>
  <c r="D29" i="472"/>
  <c r="Q27" i="472"/>
  <c r="Q26" i="472"/>
  <c r="Q25" i="472"/>
  <c r="Q24" i="472"/>
  <c r="Q23" i="472"/>
  <c r="Q22" i="472"/>
  <c r="Q21" i="472"/>
  <c r="Q20" i="472"/>
  <c r="Q19" i="472"/>
  <c r="Q18" i="472"/>
  <c r="Q17" i="472"/>
  <c r="Q16" i="472"/>
  <c r="Q15" i="472"/>
  <c r="Q14" i="472"/>
  <c r="Q13" i="472"/>
  <c r="Q12" i="472"/>
  <c r="Q11" i="472"/>
  <c r="Q10" i="472"/>
  <c r="Q9" i="472"/>
  <c r="Q8" i="472"/>
  <c r="Q7" i="472"/>
  <c r="P29" i="471"/>
  <c r="N29" i="471"/>
  <c r="L29" i="471"/>
  <c r="J29" i="471"/>
  <c r="H29" i="471"/>
  <c r="F29" i="471"/>
  <c r="D29" i="471"/>
  <c r="Q28" i="471"/>
  <c r="Q27" i="471"/>
  <c r="Q26" i="471"/>
  <c r="Q25" i="471"/>
  <c r="Q24" i="471"/>
  <c r="Q23" i="471"/>
  <c r="Q22" i="471"/>
  <c r="Q21" i="471"/>
  <c r="Q20" i="471"/>
  <c r="Q19" i="471"/>
  <c r="Q18" i="471"/>
  <c r="Q17" i="471"/>
  <c r="Q16" i="471"/>
  <c r="Q15" i="471"/>
  <c r="Q14" i="471"/>
  <c r="Q13" i="471"/>
  <c r="Q12" i="471"/>
  <c r="Q11" i="471"/>
  <c r="Q10" i="471"/>
  <c r="Q9" i="471"/>
  <c r="Q8" i="471"/>
  <c r="Q7" i="471"/>
  <c r="P29" i="470"/>
  <c r="N29" i="470"/>
  <c r="L29" i="470"/>
  <c r="J29" i="470"/>
  <c r="H29" i="470"/>
  <c r="F29" i="470"/>
  <c r="D29" i="470"/>
  <c r="Q28" i="470"/>
  <c r="Q27" i="470"/>
  <c r="Q26" i="470"/>
  <c r="Q25" i="470"/>
  <c r="Q24" i="470"/>
  <c r="Q23" i="470"/>
  <c r="Q22" i="470"/>
  <c r="Q21" i="470"/>
  <c r="Q20" i="470"/>
  <c r="Q19" i="470"/>
  <c r="Q18" i="470"/>
  <c r="Q17" i="470"/>
  <c r="Q16" i="470"/>
  <c r="Q15" i="470"/>
  <c r="Q14" i="470"/>
  <c r="Q13" i="470"/>
  <c r="Q12" i="470"/>
  <c r="Q11" i="470"/>
  <c r="Q10" i="470"/>
  <c r="Q9" i="470"/>
  <c r="Q8" i="470"/>
  <c r="Q7" i="470"/>
  <c r="P29" i="469"/>
  <c r="N29" i="469"/>
  <c r="L29" i="469"/>
  <c r="J29" i="469"/>
  <c r="H29" i="469"/>
  <c r="F29" i="469"/>
  <c r="D29" i="469"/>
  <c r="Q28" i="469"/>
  <c r="Q27" i="469"/>
  <c r="Q26" i="469"/>
  <c r="Q25" i="469"/>
  <c r="Q24" i="469"/>
  <c r="Q23" i="469"/>
  <c r="Q22" i="469"/>
  <c r="Q21" i="469"/>
  <c r="Q20" i="469"/>
  <c r="Q17" i="469"/>
  <c r="Q16" i="469"/>
  <c r="Q15" i="469"/>
  <c r="Q14" i="469"/>
  <c r="Q13" i="469"/>
  <c r="Q12" i="469"/>
  <c r="Q11" i="469"/>
  <c r="Q10" i="469"/>
  <c r="Q9" i="469"/>
  <c r="Q8" i="469"/>
  <c r="Q7" i="469"/>
  <c r="P29" i="468"/>
  <c r="N29" i="468"/>
  <c r="L29" i="468"/>
  <c r="J29" i="468"/>
  <c r="H29" i="468"/>
  <c r="F29" i="468"/>
  <c r="D29" i="468"/>
  <c r="Q28" i="468"/>
  <c r="Q27" i="468"/>
  <c r="Q26" i="468"/>
  <c r="Q25" i="468"/>
  <c r="Q24" i="468"/>
  <c r="Q23" i="468"/>
  <c r="Q22" i="468"/>
  <c r="Q21" i="468"/>
  <c r="Q20" i="468"/>
  <c r="Q19" i="468"/>
  <c r="Q18" i="468"/>
  <c r="Q17" i="468"/>
  <c r="Q16" i="468"/>
  <c r="Q15" i="468"/>
  <c r="Q14" i="468"/>
  <c r="Q13" i="468"/>
  <c r="Q12" i="468"/>
  <c r="Q11" i="468"/>
  <c r="Q10" i="468"/>
  <c r="Q9" i="468"/>
  <c r="Q8" i="468"/>
  <c r="Q7" i="468"/>
  <c r="P29" i="467"/>
  <c r="N29" i="467"/>
  <c r="L29" i="467"/>
  <c r="J29" i="467"/>
  <c r="H29" i="467"/>
  <c r="F29" i="467"/>
  <c r="D29" i="467"/>
  <c r="Q28" i="467"/>
  <c r="Q27" i="467"/>
  <c r="Q26" i="467"/>
  <c r="Q25" i="467"/>
  <c r="Q24" i="467"/>
  <c r="Q23" i="467"/>
  <c r="Q22" i="467"/>
  <c r="Q21" i="467"/>
  <c r="Q20" i="467"/>
  <c r="Q19" i="467"/>
  <c r="Q18" i="467"/>
  <c r="Q17" i="467"/>
  <c r="Q16" i="467"/>
  <c r="Q15" i="467"/>
  <c r="Q14" i="467"/>
  <c r="Q13" i="467"/>
  <c r="Q12" i="467"/>
  <c r="Q11" i="467"/>
  <c r="Q10" i="467"/>
  <c r="Q9" i="467"/>
  <c r="Q8" i="467"/>
  <c r="Q7" i="467"/>
  <c r="P29" i="466"/>
  <c r="N29" i="466"/>
  <c r="L29" i="466"/>
  <c r="J29" i="466"/>
  <c r="H29" i="466"/>
  <c r="F29" i="466"/>
  <c r="D29" i="466"/>
  <c r="Q28" i="466"/>
  <c r="Q27" i="466"/>
  <c r="Q26" i="466"/>
  <c r="Q25" i="466"/>
  <c r="Q24" i="466"/>
  <c r="Q23" i="466"/>
  <c r="Q22" i="466"/>
  <c r="Q21" i="466"/>
  <c r="Q20" i="466"/>
  <c r="Q19" i="466"/>
  <c r="Q18" i="466"/>
  <c r="Q17" i="466"/>
  <c r="Q16" i="466"/>
  <c r="Q15" i="466"/>
  <c r="Q14" i="466"/>
  <c r="Q13" i="466"/>
  <c r="Q12" i="466"/>
  <c r="Q11" i="466"/>
  <c r="Q10" i="466"/>
  <c r="Q9" i="466"/>
  <c r="Q8" i="466"/>
  <c r="Q7" i="466"/>
  <c r="P29" i="465"/>
  <c r="N29" i="465"/>
  <c r="L29" i="465"/>
  <c r="J29" i="465"/>
  <c r="H29" i="465"/>
  <c r="F29" i="465"/>
  <c r="D29" i="465"/>
  <c r="Q28" i="465"/>
  <c r="Q27" i="465"/>
  <c r="Q26" i="465"/>
  <c r="Q25" i="465"/>
  <c r="Q24" i="465"/>
  <c r="Q23" i="465"/>
  <c r="Q22" i="465"/>
  <c r="Q21" i="465"/>
  <c r="Q20" i="465"/>
  <c r="Q19" i="465"/>
  <c r="Q18" i="465"/>
  <c r="Q17" i="465"/>
  <c r="Q16" i="465"/>
  <c r="Q15" i="465"/>
  <c r="Q14" i="465"/>
  <c r="Q13" i="465"/>
  <c r="Q12" i="465"/>
  <c r="Q11" i="465"/>
  <c r="Q10" i="465"/>
  <c r="Q9" i="465"/>
  <c r="Q8" i="465"/>
  <c r="Q7" i="465"/>
  <c r="P29" i="464"/>
  <c r="N29" i="464"/>
  <c r="L29" i="464"/>
  <c r="J29" i="464"/>
  <c r="H29" i="464"/>
  <c r="F29" i="464"/>
  <c r="D29" i="464"/>
  <c r="Q28" i="464"/>
  <c r="Q27" i="464"/>
  <c r="Q26" i="464"/>
  <c r="Q25" i="464"/>
  <c r="Q24" i="464"/>
  <c r="Q23" i="464"/>
  <c r="Q22" i="464"/>
  <c r="Q21" i="464"/>
  <c r="Q20" i="464"/>
  <c r="Q19" i="464"/>
  <c r="Q18" i="464"/>
  <c r="Q17" i="464"/>
  <c r="Q16" i="464"/>
  <c r="Q15" i="464"/>
  <c r="Q14" i="464"/>
  <c r="Q13" i="464"/>
  <c r="Q12" i="464"/>
  <c r="Q11" i="464"/>
  <c r="Q10" i="464"/>
  <c r="Q9" i="464"/>
  <c r="Q8" i="464"/>
  <c r="Q7" i="464"/>
  <c r="P29" i="461"/>
  <c r="N29" i="461"/>
  <c r="L29" i="461"/>
  <c r="J29" i="461"/>
  <c r="H29" i="461"/>
  <c r="F29" i="461"/>
  <c r="Q28" i="461"/>
  <c r="Q27" i="461"/>
  <c r="Q26" i="461"/>
  <c r="Q25" i="461"/>
  <c r="Q24" i="461"/>
  <c r="Q23" i="461"/>
  <c r="Q22" i="461"/>
  <c r="Q21" i="461"/>
  <c r="Q29" i="489" l="1"/>
  <c r="Q29" i="479"/>
  <c r="Q29" i="485"/>
  <c r="Q29" i="487"/>
  <c r="Q29" i="488"/>
  <c r="Q29" i="490"/>
  <c r="Q29" i="497"/>
  <c r="Q29" i="511"/>
  <c r="Q29" i="483"/>
  <c r="Q29" i="478"/>
  <c r="Q29" i="477"/>
  <c r="Q29" i="480"/>
  <c r="Q29" i="486"/>
  <c r="Q29" i="492"/>
  <c r="Q29" i="493"/>
  <c r="Q29" i="495"/>
  <c r="Q29" i="496"/>
  <c r="Q29" i="498"/>
  <c r="Q29" i="506"/>
  <c r="Q29" i="512"/>
  <c r="Q29" i="501"/>
  <c r="Q29" i="476"/>
  <c r="Q29" i="491"/>
  <c r="Q29" i="499"/>
  <c r="Q29" i="503"/>
  <c r="Q29" i="504"/>
  <c r="Q29" i="471"/>
  <c r="Q29" i="472"/>
  <c r="Q29" i="468"/>
  <c r="Q29" i="500"/>
  <c r="Q29" i="481"/>
  <c r="Q29" i="513"/>
  <c r="Q29" i="508"/>
  <c r="Q29" i="514"/>
  <c r="Q29" i="509"/>
  <c r="I4" i="513"/>
  <c r="E4" i="509"/>
  <c r="I4" i="510"/>
  <c r="Q29" i="484"/>
  <c r="I4" i="512"/>
  <c r="I4" i="511"/>
  <c r="Q29" i="494"/>
  <c r="Q29" i="475"/>
  <c r="Q29" i="469"/>
  <c r="Q29" i="470"/>
  <c r="Q29" i="473"/>
  <c r="Q29" i="465"/>
  <c r="Q29" i="464"/>
  <c r="Q29" i="461"/>
  <c r="Q29" i="466"/>
  <c r="Q29" i="467"/>
  <c r="Q29" i="510"/>
  <c r="Q29" i="507"/>
  <c r="Q29" i="505"/>
  <c r="Q29" i="474"/>
  <c r="Q29" i="502"/>
  <c r="Q29" i="482"/>
  <c r="I4" i="509" l="1"/>
  <c r="E4" i="508"/>
  <c r="E4" i="507" l="1"/>
  <c r="I4" i="508"/>
  <c r="E4" i="506" l="1"/>
  <c r="I4" i="507"/>
  <c r="I4" i="506" l="1"/>
  <c r="E4" i="505"/>
  <c r="E4" i="504" l="1"/>
  <c r="I4" i="505"/>
  <c r="E4" i="503" l="1"/>
  <c r="I4" i="504"/>
  <c r="I4" i="503" l="1"/>
  <c r="E4" i="502"/>
  <c r="E4" i="501" l="1"/>
  <c r="I4" i="502"/>
  <c r="I4" i="501" l="1"/>
  <c r="E4" i="500"/>
  <c r="E4" i="499" l="1"/>
  <c r="I4" i="500"/>
  <c r="I4" i="499" l="1"/>
  <c r="E4" i="498"/>
  <c r="E4" i="497" l="1"/>
  <c r="I4" i="498"/>
  <c r="I4" i="497" l="1"/>
  <c r="E4" i="496"/>
  <c r="E4" i="495" l="1"/>
  <c r="I4" i="496"/>
  <c r="I4" i="495" l="1"/>
  <c r="E4" i="494"/>
  <c r="E4" i="493" l="1"/>
  <c r="I4" i="494"/>
  <c r="E4" i="492" l="1"/>
  <c r="I4" i="493"/>
  <c r="E4" i="491" l="1"/>
  <c r="I4" i="492"/>
  <c r="I4" i="491" l="1"/>
  <c r="E4" i="490"/>
  <c r="E4" i="489" l="1"/>
  <c r="I4" i="490"/>
  <c r="I4" i="489" l="1"/>
  <c r="E4" i="488"/>
  <c r="E4" i="487" l="1"/>
  <c r="I4" i="488"/>
  <c r="I4" i="487" l="1"/>
  <c r="E4" i="486"/>
  <c r="E4" i="485" l="1"/>
  <c r="I4" i="486"/>
  <c r="E4" i="484" l="1"/>
  <c r="I4" i="485"/>
  <c r="E4" i="483" l="1"/>
  <c r="I4" i="484"/>
  <c r="I4" i="483" l="1"/>
  <c r="E4" i="482"/>
  <c r="I4" i="482" l="1"/>
  <c r="E4" i="481"/>
  <c r="E4" i="480" l="1"/>
  <c r="I4" i="481"/>
  <c r="I4" i="480" l="1"/>
  <c r="E4" i="479"/>
  <c r="E4" i="478" l="1"/>
  <c r="I4" i="479"/>
  <c r="E4" i="477" l="1"/>
  <c r="I4" i="478"/>
  <c r="E4" i="476" l="1"/>
  <c r="I4" i="477"/>
  <c r="I4" i="476" l="1"/>
  <c r="E4" i="475"/>
  <c r="E4" i="474" l="1"/>
  <c r="I4" i="475"/>
  <c r="E4" i="469" l="1"/>
  <c r="I4" i="474"/>
  <c r="I4" i="469" l="1"/>
  <c r="E4" i="470"/>
  <c r="I4" i="470" l="1"/>
  <c r="E4" i="471"/>
  <c r="E4" i="472" l="1"/>
  <c r="I4" i="471"/>
  <c r="E4" i="473" l="1"/>
  <c r="I4" i="472"/>
  <c r="E4" i="465" l="1"/>
  <c r="I4" i="473"/>
  <c r="E4" i="464" l="1"/>
  <c r="I4" i="465"/>
  <c r="E4" i="461" l="1"/>
  <c r="I4" i="464"/>
  <c r="E4" i="466" l="1"/>
  <c r="I4" i="461"/>
  <c r="I4" i="466" l="1"/>
  <c r="E4" i="467"/>
  <c r="E4" i="468" l="1"/>
  <c r="I4" i="468" s="1"/>
  <c r="I4" i="467"/>
</calcChain>
</file>

<file path=xl/sharedStrings.xml><?xml version="1.0" encoding="utf-8"?>
<sst xmlns="http://schemas.openxmlformats.org/spreadsheetml/2006/main" count="2701" uniqueCount="105">
  <si>
    <t>FEUILLE DE TEMPS</t>
  </si>
  <si>
    <t>Nom</t>
  </si>
  <si>
    <t>Mois</t>
  </si>
  <si>
    <t>Du</t>
  </si>
  <si>
    <t>au</t>
  </si>
  <si>
    <t>Dim.</t>
  </si>
  <si>
    <t>Lundi</t>
  </si>
  <si>
    <t>Mardi</t>
  </si>
  <si>
    <t>Mercredi</t>
  </si>
  <si>
    <t>Jeudi</t>
  </si>
  <si>
    <t>Vendredi</t>
  </si>
  <si>
    <t>Sam.</t>
  </si>
  <si>
    <t>TOTAUX</t>
  </si>
  <si>
    <t>PROJET</t>
  </si>
  <si>
    <t>No. Relevé</t>
  </si>
  <si>
    <t>Code</t>
  </si>
  <si>
    <t>Hres</t>
  </si>
  <si>
    <t>Total</t>
  </si>
  <si>
    <t>DECRIPTION</t>
  </si>
  <si>
    <t>Pc = prép. Camion</t>
  </si>
  <si>
    <t>T = transport</t>
  </si>
  <si>
    <t>Ma = manutention</t>
  </si>
  <si>
    <t>Pç = percer</t>
  </si>
  <si>
    <t>Cp = couper</t>
  </si>
  <si>
    <t>A = assemblage</t>
  </si>
  <si>
    <t>S = soudage</t>
  </si>
  <si>
    <t>J = jet de sable</t>
  </si>
  <si>
    <t>P = peinture</t>
  </si>
  <si>
    <t>Pl = pliage</t>
  </si>
  <si>
    <t>R = roulage</t>
  </si>
  <si>
    <t>E = entretien</t>
  </si>
  <si>
    <t>M = ménage</t>
  </si>
  <si>
    <t>D = dessin</t>
  </si>
  <si>
    <t>GP = Gestion de projet</t>
  </si>
  <si>
    <t>Es = estimation</t>
  </si>
  <si>
    <t>Semaine No.</t>
  </si>
  <si>
    <t>D</t>
  </si>
  <si>
    <t>GP</t>
  </si>
  <si>
    <t>CABANE</t>
  </si>
  <si>
    <t>SM-213-0066</t>
  </si>
  <si>
    <t>REMPLISSAGE AUTOMATIQUE POUR LES 52 AUTRES PAGES</t>
  </si>
  <si>
    <t>SM-220-0022</t>
  </si>
  <si>
    <t>SM-220-0067</t>
  </si>
  <si>
    <t>BELL-RÉFECTION DE LA STRUCTURE</t>
  </si>
  <si>
    <t>BELL-COFFRAGE ABAQUE MÉTALLIQUE</t>
  </si>
  <si>
    <t>SOUMISSION</t>
  </si>
  <si>
    <t>SM-220-0072</t>
  </si>
  <si>
    <t>SUPPORT À POTEAUX</t>
  </si>
  <si>
    <t>SM-120-0162</t>
  </si>
  <si>
    <t>SM-120-0161</t>
  </si>
  <si>
    <t>SOUMISION</t>
  </si>
  <si>
    <t>SM-120-0173</t>
  </si>
  <si>
    <t>BELL-RÉFECTION STRUCTURE</t>
  </si>
  <si>
    <t>SM-120-0163</t>
  </si>
  <si>
    <t>SM-120-161</t>
  </si>
  <si>
    <t>SM-120-0179</t>
  </si>
  <si>
    <t>SM-120-0180</t>
  </si>
  <si>
    <t>SM-120-0175</t>
  </si>
  <si>
    <t>SM-120-0182</t>
  </si>
  <si>
    <t>BELL-TITAN-Plancher surélevé</t>
  </si>
  <si>
    <t>SM-120-0188</t>
  </si>
  <si>
    <t>SM-120-0189</t>
  </si>
  <si>
    <t>SM-120-0185</t>
  </si>
  <si>
    <t>BELL-TITAN (plancher surélevé)</t>
  </si>
  <si>
    <t>SUPPORT MANIPULATION BOLLARD</t>
  </si>
  <si>
    <t>BELL-TITAN (PLANCHER SURÉLEVÉ)</t>
  </si>
  <si>
    <t>MACO-SUPPORT À POTEAUX</t>
  </si>
  <si>
    <t>BELL-TITAN, PLANCHER SURÉLEVÉ</t>
  </si>
  <si>
    <t>SM-220-0081</t>
  </si>
  <si>
    <t>MACO-Support (2007 19MM151</t>
  </si>
  <si>
    <t>SM-220-0083</t>
  </si>
  <si>
    <t>MACO-Support ligne asph. 20MM027</t>
  </si>
  <si>
    <t>SM-220-0080</t>
  </si>
  <si>
    <t>KF-École Westmount</t>
  </si>
  <si>
    <t>MACO-Support poteaux</t>
  </si>
  <si>
    <t>Bell-Titan- Plancher surélevé</t>
  </si>
  <si>
    <t>BELL-TITAN (Plancher surélevé)</t>
  </si>
  <si>
    <t>SUPPORT MACO (REQ 2007 19MM151)</t>
  </si>
  <si>
    <t>SUPPORT MACO (20MM027)</t>
  </si>
  <si>
    <t>Bell-Titan - Plancher surélevé</t>
  </si>
  <si>
    <t>?</t>
  </si>
  <si>
    <t>LUNDI DE PÂQUES</t>
  </si>
  <si>
    <t>SM-220-0098</t>
  </si>
  <si>
    <t>PLAQUE PROTECTION</t>
  </si>
  <si>
    <t>JEAN CARON ET FILS</t>
  </si>
  <si>
    <t>FÊTE DE LA REINE</t>
  </si>
  <si>
    <t>SEMAINE 1 DE SOPHIE :)</t>
  </si>
  <si>
    <t xml:space="preserve"> </t>
  </si>
  <si>
    <t>c</t>
  </si>
  <si>
    <t xml:space="preserve">soumission </t>
  </si>
  <si>
    <t>soumission</t>
  </si>
  <si>
    <t>Benoit Beauchemin</t>
  </si>
  <si>
    <t>FAMILIARISATION DE L'ENVIRONNEMENT</t>
  </si>
  <si>
    <t>22 septembre 2020</t>
  </si>
  <si>
    <t>Break/Pause AM</t>
  </si>
  <si>
    <t>Break/Pause PM</t>
  </si>
  <si>
    <t>Sm123</t>
  </si>
  <si>
    <t>SM-234</t>
  </si>
  <si>
    <t>SM-345</t>
  </si>
  <si>
    <t>SM-456</t>
  </si>
  <si>
    <t>SM-567</t>
  </si>
  <si>
    <t>ES</t>
  </si>
  <si>
    <t>SM-0049-07</t>
  </si>
  <si>
    <t>SM-0049-08</t>
  </si>
  <si>
    <t>SM-000000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</si>
</sst>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_$_ ;_ * \(#,##0.00\)\ _$_ ;_ * &quot;-&quot;??_)\ _$_ ;_ @_ "/>
    <numFmt numFmtId="165" formatCode="_(&quot;$&quot;* #,##0_);_(&quot;$&quot;* \(#,##0\);_(&quot;$&quot;* &quot;-&quot;_);_(@_)"/>
    <numFmt numFmtId="166" formatCode="_(* #,##0_);_(* \(#,##0\);_(* &quot;-&quot;_);_(@_)"/>
    <numFmt numFmtId="167" formatCode="d/mmm/yy"/>
  </numFmts>
  <fonts count="1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7"/>
        <bgColor indexed="64"/>
      </patternFill>
    </fill>
  </fills>
  <borders count="39">
    <border>
      <left/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18" fillId="0" borderId="0" applyFont="0" applyFill="0" applyBorder="0" applyAlignment="0" applyProtection="0"/>
  </cellStyleXfs>
  <cellXfs count="146">
    <xf numFmtId="0" fontId="0" fillId="0" borderId="0" xfId="0"/>
    <xf numFmtId="0" fontId="0" fillId="0" borderId="0" xfId="0" applyBorder="1" applyProtection="1"/>
    <xf numFmtId="0" fontId="3" fillId="0" borderId="0" xfId="0" applyFont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0" fillId="0" borderId="1" xfId="0" applyBorder="1" applyProtection="1"/>
    <xf numFmtId="0" fontId="5" fillId="0" borderId="2" xfId="0" applyFont="1" applyFill="1" applyBorder="1" applyAlignment="1" applyProtection="1">
      <alignment horizontal="center" vertical="center"/>
    </xf>
    <xf numFmtId="14" fontId="5" fillId="0" borderId="2" xfId="0" applyNumberFormat="1" applyFont="1" applyFill="1" applyBorder="1" applyAlignment="1" applyProtection="1">
      <alignment horizontal="centerContinuous" vertical="center"/>
    </xf>
    <xf numFmtId="0" fontId="8" fillId="0" borderId="0" xfId="0" applyFont="1" applyBorder="1" applyProtection="1"/>
    <xf numFmtId="0" fontId="4" fillId="0" borderId="3" xfId="0" applyFont="1" applyFill="1" applyBorder="1" applyAlignment="1" applyProtection="1">
      <alignment vertical="center"/>
    </xf>
    <xf numFmtId="0" fontId="4" fillId="0" borderId="4" xfId="0" applyFont="1" applyFill="1" applyBorder="1" applyAlignment="1" applyProtection="1">
      <alignment vertical="center"/>
    </xf>
    <xf numFmtId="0" fontId="0" fillId="0" borderId="4" xfId="0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vertical="center"/>
    </xf>
    <xf numFmtId="0" fontId="4" fillId="0" borderId="4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vertical="center"/>
    </xf>
    <xf numFmtId="0" fontId="6" fillId="0" borderId="6" xfId="0" applyFont="1" applyFill="1" applyBorder="1" applyAlignment="1" applyProtection="1">
      <alignment horizontal="left" vertical="center"/>
      <protection locked="0"/>
    </xf>
    <xf numFmtId="167" fontId="5" fillId="0" borderId="2" xfId="0" applyNumberFormat="1" applyFont="1" applyFill="1" applyBorder="1" applyAlignment="1" applyProtection="1">
      <alignment horizontal="centerContinuous" vertical="center"/>
      <protection locked="0"/>
    </xf>
    <xf numFmtId="0" fontId="5" fillId="0" borderId="7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 applyProtection="1">
      <alignment vertical="center"/>
      <protection locked="0"/>
    </xf>
    <xf numFmtId="0" fontId="0" fillId="0" borderId="8" xfId="0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/>
      <protection locked="0"/>
    </xf>
    <xf numFmtId="0" fontId="4" fillId="0" borderId="12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10" xfId="0" applyFont="1" applyBorder="1" applyAlignment="1" applyProtection="1">
      <alignment horizontal="center"/>
      <protection locked="0"/>
    </xf>
    <xf numFmtId="0" fontId="10" fillId="0" borderId="1" xfId="0" applyFont="1" applyBorder="1" applyProtection="1">
      <protection locked="0"/>
    </xf>
    <xf numFmtId="0" fontId="11" fillId="0" borderId="7" xfId="0" applyNumberFormat="1" applyFont="1" applyFill="1" applyBorder="1" applyAlignment="1" applyProtection="1">
      <alignment horizontal="center" vertical="center"/>
      <protection locked="0"/>
    </xf>
    <xf numFmtId="0" fontId="10" fillId="0" borderId="13" xfId="0" applyFont="1" applyBorder="1" applyProtection="1">
      <protection locked="0"/>
    </xf>
    <xf numFmtId="0" fontId="12" fillId="0" borderId="14" xfId="0" applyFont="1" applyFill="1" applyBorder="1" applyAlignment="1" applyProtection="1">
      <alignment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 vertical="center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</xf>
    <xf numFmtId="0" fontId="5" fillId="0" borderId="16" xfId="0" applyNumberFormat="1" applyFont="1" applyFill="1" applyBorder="1" applyAlignment="1" applyProtection="1">
      <alignment horizontal="center" vertical="center"/>
      <protection locked="0"/>
    </xf>
    <xf numFmtId="0" fontId="11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7" xfId="0" applyFont="1" applyFill="1" applyBorder="1" applyAlignment="1" applyProtection="1">
      <alignment horizontal="left" vertical="center"/>
    </xf>
    <xf numFmtId="0" fontId="5" fillId="0" borderId="18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vertical="center"/>
    </xf>
    <xf numFmtId="0" fontId="4" fillId="0" borderId="1" xfId="0" applyFont="1" applyBorder="1" applyProtection="1"/>
    <xf numFmtId="0" fontId="5" fillId="0" borderId="19" xfId="0" applyFont="1" applyBorder="1" applyAlignment="1" applyProtection="1">
      <alignment horizontal="center"/>
    </xf>
    <xf numFmtId="0" fontId="9" fillId="0" borderId="20" xfId="0" applyFont="1" applyBorder="1" applyProtection="1">
      <protection locked="0"/>
    </xf>
    <xf numFmtId="0" fontId="10" fillId="0" borderId="21" xfId="0" applyFont="1" applyBorder="1" applyProtection="1">
      <protection locked="0"/>
    </xf>
    <xf numFmtId="0" fontId="10" fillId="0" borderId="20" xfId="0" applyFont="1" applyBorder="1" applyProtection="1">
      <protection locked="0"/>
    </xf>
    <xf numFmtId="0" fontId="10" fillId="0" borderId="22" xfId="0" applyFont="1" applyBorder="1" applyProtection="1">
      <protection locked="0"/>
    </xf>
    <xf numFmtId="0" fontId="1" fillId="0" borderId="22" xfId="0" applyFont="1" applyBorder="1" applyAlignment="1" applyProtection="1">
      <alignment horizontal="right" vertical="center"/>
    </xf>
    <xf numFmtId="0" fontId="4" fillId="0" borderId="23" xfId="0" applyFont="1" applyBorder="1" applyProtection="1"/>
    <xf numFmtId="0" fontId="5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21" xfId="0" applyNumberFormat="1" applyFont="1" applyFill="1" applyBorder="1" applyAlignment="1" applyProtection="1">
      <alignment horizontal="center" vertical="center"/>
      <protection locked="0"/>
    </xf>
    <xf numFmtId="0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22" xfId="0" applyFont="1" applyFill="1" applyBorder="1" applyAlignment="1" applyProtection="1">
      <alignment vertical="center"/>
      <protection locked="0"/>
    </xf>
    <xf numFmtId="0" fontId="5" fillId="0" borderId="24" xfId="0" applyNumberFormat="1" applyFont="1" applyFill="1" applyBorder="1" applyAlignment="1" applyProtection="1">
      <alignment horizontal="center" vertical="center"/>
      <protection locked="0"/>
    </xf>
    <xf numFmtId="0" fontId="11" fillId="0" borderId="24" xfId="0" applyNumberFormat="1" applyFont="1" applyFill="1" applyBorder="1" applyAlignment="1" applyProtection="1">
      <alignment horizontal="center" vertical="center"/>
      <protection locked="0"/>
    </xf>
    <xf numFmtId="0" fontId="5" fillId="0" borderId="25" xfId="0" applyNumberFormat="1" applyFont="1" applyFill="1" applyBorder="1" applyAlignment="1" applyProtection="1">
      <alignment horizontal="center" vertical="center"/>
      <protection locked="0"/>
    </xf>
    <xf numFmtId="0" fontId="5" fillId="0" borderId="26" xfId="0" applyNumberFormat="1" applyFont="1" applyFill="1" applyBorder="1" applyAlignment="1" applyProtection="1">
      <alignment horizontal="center" vertical="center"/>
      <protection locked="0"/>
    </xf>
    <xf numFmtId="0" fontId="11" fillId="0" borderId="25" xfId="0" applyNumberFormat="1" applyFont="1" applyFill="1" applyBorder="1" applyAlignment="1" applyProtection="1">
      <alignment horizontal="center" vertical="center"/>
      <protection locked="0"/>
    </xf>
    <xf numFmtId="0" fontId="11" fillId="0" borderId="26" xfId="0" applyNumberFormat="1" applyFont="1" applyFill="1" applyBorder="1" applyAlignment="1" applyProtection="1">
      <alignment horizontal="center" vertical="center"/>
      <protection locked="0"/>
    </xf>
    <xf numFmtId="0" fontId="5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0" borderId="22" xfId="0" applyNumberFormat="1" applyFont="1" applyFill="1" applyBorder="1" applyAlignment="1" applyProtection="1">
      <alignment horizontal="center" vertical="center"/>
      <protection locked="0"/>
    </xf>
    <xf numFmtId="14" fontId="5" fillId="0" borderId="2" xfId="0" applyNumberFormat="1" applyFont="1" applyFill="1" applyBorder="1" applyAlignment="1" applyProtection="1">
      <alignment horizontal="center" vertical="center"/>
    </xf>
    <xf numFmtId="0" fontId="3" fillId="0" borderId="28" xfId="0" applyFont="1" applyBorder="1" applyAlignment="1" applyProtection="1">
      <alignment horizontal="center" vertical="center"/>
    </xf>
    <xf numFmtId="0" fontId="3" fillId="0" borderId="29" xfId="0" applyFont="1" applyBorder="1" applyAlignment="1" applyProtection="1">
      <alignment horizontal="center" vertical="center"/>
    </xf>
    <xf numFmtId="0" fontId="3" fillId="0" borderId="30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/>
    </xf>
    <xf numFmtId="0" fontId="3" fillId="0" borderId="15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167" fontId="5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17" xfId="0" applyFont="1" applyFill="1" applyBorder="1" applyAlignment="1" applyProtection="1">
      <alignment vertical="center"/>
    </xf>
    <xf numFmtId="0" fontId="12" fillId="0" borderId="2" xfId="0" applyNumberFormat="1" applyFont="1" applyFill="1" applyBorder="1" applyAlignment="1" applyProtection="1">
      <alignment horizontal="left" vertical="center"/>
    </xf>
    <xf numFmtId="0" fontId="14" fillId="0" borderId="13" xfId="0" applyFont="1" applyBorder="1" applyProtection="1">
      <protection locked="0"/>
    </xf>
    <xf numFmtId="0" fontId="15" fillId="0" borderId="13" xfId="0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14" fillId="0" borderId="1" xfId="0" applyFont="1" applyBorder="1" applyProtection="1"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14" fillId="0" borderId="10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vertical="center"/>
    </xf>
    <xf numFmtId="0" fontId="2" fillId="0" borderId="13" xfId="0" applyFont="1" applyBorder="1" applyProtection="1">
      <protection locked="0"/>
    </xf>
    <xf numFmtId="0" fontId="9" fillId="0" borderId="9" xfId="0" applyFont="1" applyFill="1" applyBorder="1" applyAlignment="1" applyProtection="1">
      <alignment horizontal="center"/>
      <protection locked="0"/>
    </xf>
    <xf numFmtId="0" fontId="4" fillId="0" borderId="13" xfId="0" applyFont="1" applyFill="1" applyBorder="1" applyProtection="1">
      <protection locked="0"/>
    </xf>
    <xf numFmtId="0" fontId="9" fillId="0" borderId="20" xfId="0" applyFont="1" applyFill="1" applyBorder="1" applyProtection="1">
      <protection locked="0"/>
    </xf>
    <xf numFmtId="0" fontId="2" fillId="0" borderId="10" xfId="0" applyFont="1" applyFill="1" applyBorder="1" applyAlignment="1" applyProtection="1">
      <alignment horizontal="center"/>
      <protection locked="0"/>
    </xf>
    <xf numFmtId="0" fontId="14" fillId="0" borderId="1" xfId="0" applyFont="1" applyFill="1" applyBorder="1" applyProtection="1">
      <protection locked="0"/>
    </xf>
    <xf numFmtId="0" fontId="10" fillId="0" borderId="21" xfId="0" applyFont="1" applyFill="1" applyBorder="1" applyProtection="1">
      <protection locked="0"/>
    </xf>
    <xf numFmtId="0" fontId="10" fillId="0" borderId="9" xfId="0" applyFont="1" applyFill="1" applyBorder="1" applyAlignment="1" applyProtection="1">
      <alignment horizontal="center"/>
      <protection locked="0"/>
    </xf>
    <xf numFmtId="0" fontId="10" fillId="0" borderId="13" xfId="0" applyFont="1" applyFill="1" applyBorder="1" applyProtection="1">
      <protection locked="0"/>
    </xf>
    <xf numFmtId="0" fontId="10" fillId="0" borderId="20" xfId="0" applyFont="1" applyFill="1" applyBorder="1" applyProtection="1">
      <protection locked="0"/>
    </xf>
    <xf numFmtId="0" fontId="10" fillId="0" borderId="10" xfId="0" applyFont="1" applyFill="1" applyBorder="1" applyAlignment="1" applyProtection="1">
      <alignment horizontal="center"/>
      <protection locked="0"/>
    </xf>
    <xf numFmtId="0" fontId="14" fillId="0" borderId="13" xfId="0" applyFont="1" applyFill="1" applyBorder="1" applyProtection="1">
      <protection locked="0"/>
    </xf>
    <xf numFmtId="0" fontId="10" fillId="0" borderId="1" xfId="0" applyFont="1" applyFill="1" applyBorder="1" applyProtection="1">
      <protection locked="0"/>
    </xf>
    <xf numFmtId="0" fontId="15" fillId="0" borderId="13" xfId="0" applyFont="1" applyFill="1" applyBorder="1" applyProtection="1"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0" fontId="5" fillId="0" borderId="19" xfId="0" applyFont="1" applyFill="1" applyBorder="1" applyAlignment="1" applyProtection="1">
      <alignment horizontal="center"/>
    </xf>
    <xf numFmtId="0" fontId="12" fillId="2" borderId="14" xfId="0" applyFont="1" applyFill="1" applyBorder="1" applyAlignment="1" applyProtection="1">
      <alignment vertical="center"/>
    </xf>
    <xf numFmtId="0" fontId="5" fillId="2" borderId="6" xfId="0" applyFont="1" applyFill="1" applyBorder="1" applyAlignment="1" applyProtection="1">
      <alignment vertical="center"/>
    </xf>
    <xf numFmtId="0" fontId="2" fillId="0" borderId="1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Protection="1">
      <protection locked="0"/>
    </xf>
    <xf numFmtId="0" fontId="9" fillId="0" borderId="10" xfId="0" applyFont="1" applyFill="1" applyBorder="1" applyAlignment="1" applyProtection="1">
      <alignment horizontal="center"/>
      <protection locked="0"/>
    </xf>
    <xf numFmtId="0" fontId="16" fillId="0" borderId="13" xfId="0" applyFont="1" applyFill="1" applyBorder="1" applyProtection="1">
      <protection locked="0"/>
    </xf>
    <xf numFmtId="0" fontId="17" fillId="0" borderId="9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Protection="1">
      <protection locked="0"/>
    </xf>
    <xf numFmtId="0" fontId="5" fillId="0" borderId="32" xfId="0" applyFont="1" applyFill="1" applyBorder="1" applyAlignment="1" applyProtection="1">
      <alignment horizontal="center"/>
    </xf>
    <xf numFmtId="2" fontId="5" fillId="0" borderId="19" xfId="3" applyNumberFormat="1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0" fillId="0" borderId="0" xfId="0" applyFill="1" applyBorder="1" applyProtection="1"/>
    <xf numFmtId="0" fontId="4" fillId="2" borderId="0" xfId="0" applyFont="1" applyFill="1" applyBorder="1" applyProtection="1"/>
    <xf numFmtId="0" fontId="2" fillId="0" borderId="9" xfId="0" applyFont="1" applyBorder="1" applyAlignment="1" applyProtection="1">
      <alignment horizontal="center"/>
      <protection locked="0"/>
    </xf>
    <xf numFmtId="0" fontId="2" fillId="0" borderId="1" xfId="0" applyFont="1" applyBorder="1" applyProtection="1"/>
    <xf numFmtId="0" fontId="2" fillId="0" borderId="20" xfId="0" applyFont="1" applyBorder="1" applyProtection="1">
      <protection locked="0"/>
    </xf>
    <xf numFmtId="0" fontId="5" fillId="3" borderId="20" xfId="0" applyNumberFormat="1" applyFont="1" applyFill="1" applyBorder="1" applyAlignment="1" applyProtection="1">
      <alignment horizontal="center" vertical="center"/>
      <protection locked="0"/>
    </xf>
    <xf numFmtId="0" fontId="5" fillId="3" borderId="16" xfId="0" applyNumberFormat="1" applyFont="1" applyFill="1" applyBorder="1" applyAlignment="1" applyProtection="1">
      <alignment horizontal="center" vertical="center"/>
      <protection locked="0"/>
    </xf>
    <xf numFmtId="0" fontId="5" fillId="3" borderId="21" xfId="0" applyNumberFormat="1" applyFont="1" applyFill="1" applyBorder="1" applyAlignment="1" applyProtection="1">
      <alignment horizontal="center" vertical="center"/>
      <protection locked="0"/>
    </xf>
    <xf numFmtId="0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Protection="1">
      <protection locked="0"/>
    </xf>
    <xf numFmtId="0" fontId="0" fillId="4" borderId="0" xfId="0" applyFill="1" applyProtection="1"/>
    <xf numFmtId="22" fontId="5" fillId="0" borderId="6" xfId="0" applyNumberFormat="1" applyFont="1" applyFill="1" applyBorder="1" applyAlignment="1" applyProtection="1">
      <alignment vertical="center"/>
      <protection locked="0"/>
    </xf>
    <xf numFmtId="22" fontId="3" fillId="0" borderId="2" xfId="0" applyNumberFormat="1" applyFont="1" applyBorder="1" applyAlignment="1" applyProtection="1">
      <alignment horizontal="center" vertical="center"/>
    </xf>
    <xf numFmtId="0" fontId="13" fillId="0" borderId="35" xfId="0" applyFont="1" applyBorder="1" applyAlignment="1" applyProtection="1">
      <alignment horizontal="center" vertical="center" shrinkToFit="1"/>
    </xf>
    <xf numFmtId="0" fontId="13" fillId="0" borderId="36" xfId="0" applyFont="1" applyBorder="1" applyAlignment="1">
      <alignment vertical="center" shrinkToFit="1"/>
    </xf>
    <xf numFmtId="0" fontId="13" fillId="0" borderId="2" xfId="0" applyFont="1" applyBorder="1" applyAlignment="1" applyProtection="1">
      <alignment horizontal="center"/>
    </xf>
    <xf numFmtId="0" fontId="13" fillId="0" borderId="2" xfId="0" applyFont="1" applyBorder="1" applyAlignment="1">
      <alignment horizontal="center"/>
    </xf>
    <xf numFmtId="14" fontId="5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>
      <alignment vertical="center"/>
    </xf>
    <xf numFmtId="14" fontId="5" fillId="0" borderId="2" xfId="0" applyNumberFormat="1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3" xfId="0" applyFont="1" applyBorder="1" applyAlignment="1" applyProtection="1">
      <alignment horizontal="center"/>
    </xf>
    <xf numFmtId="0" fontId="0" fillId="0" borderId="1" xfId="0" applyBorder="1" applyAlignment="1">
      <alignment horizontal="center"/>
    </xf>
    <xf numFmtId="0" fontId="4" fillId="0" borderId="34" xfId="0" applyFon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0" fillId="0" borderId="2" xfId="0" applyBorder="1" applyAlignment="1">
      <alignment vertical="center"/>
    </xf>
    <xf numFmtId="0" fontId="4" fillId="0" borderId="37" xfId="0" applyFont="1" applyBorder="1" applyAlignment="1" applyProtection="1">
      <alignment horizontal="center"/>
    </xf>
    <xf numFmtId="0" fontId="4" fillId="0" borderId="38" xfId="0" applyFont="1" applyBorder="1" applyAlignment="1" applyProtection="1">
      <alignment horizontal="center"/>
    </xf>
    <xf numFmtId="0" fontId="0" fillId="0" borderId="2" xfId="0" applyFill="1" applyBorder="1" applyAlignment="1">
      <alignment vertical="center"/>
    </xf>
  </cellXfs>
  <cellStyles count="4">
    <cellStyle name="Comma [0]" xfId="1" xr:uid="{00000000-0005-0000-0000-000000000000}"/>
    <cellStyle name="Currency [0]" xfId="2" xr:uid="{00000000-0005-0000-0000-000001000000}"/>
    <cellStyle name="Milliers" xfId="3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9848" name="Image 1" descr="soudex metal noir.jpg">
          <a:extLst>
            <a:ext uri="{FF2B5EF4-FFF2-40B4-BE49-F238E27FC236}">
              <a16:creationId xmlns:a16="http://schemas.microsoft.com/office/drawing/2014/main" id="{00000000-0008-0000-0000-0000584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0872" name="Image 1" descr="soudex metal noir.jpg">
          <a:extLst>
            <a:ext uri="{FF2B5EF4-FFF2-40B4-BE49-F238E27FC236}">
              <a16:creationId xmlns:a16="http://schemas.microsoft.com/office/drawing/2014/main" id="{00000000-0008-0000-0100-0000584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1896" name="Image 1" descr="soudex metal noir.jpg">
          <a:extLst>
            <a:ext uri="{FF2B5EF4-FFF2-40B4-BE49-F238E27FC236}">
              <a16:creationId xmlns:a16="http://schemas.microsoft.com/office/drawing/2014/main" id="{00000000-0008-0000-0200-0000585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2920" name="Image 1" descr="soudex metal noir.jpg">
          <a:extLst>
            <a:ext uri="{FF2B5EF4-FFF2-40B4-BE49-F238E27FC236}">
              <a16:creationId xmlns:a16="http://schemas.microsoft.com/office/drawing/2014/main" id="{00000000-0008-0000-0300-0000585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3944" name="Image 1" descr="soudex metal noir.jpg">
          <a:extLst>
            <a:ext uri="{FF2B5EF4-FFF2-40B4-BE49-F238E27FC236}">
              <a16:creationId xmlns:a16="http://schemas.microsoft.com/office/drawing/2014/main" id="{00000000-0008-0000-0400-0000585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4968" name="Image 1" descr="soudex metal noir.jpg">
          <a:extLst>
            <a:ext uri="{FF2B5EF4-FFF2-40B4-BE49-F238E27FC236}">
              <a16:creationId xmlns:a16="http://schemas.microsoft.com/office/drawing/2014/main" id="{00000000-0008-0000-0500-0000585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5992" name="Image 1" descr="soudex metal noir.jpg">
          <a:extLst>
            <a:ext uri="{FF2B5EF4-FFF2-40B4-BE49-F238E27FC236}">
              <a16:creationId xmlns:a16="http://schemas.microsoft.com/office/drawing/2014/main" id="{00000000-0008-0000-0600-0000586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7016" name="Image 1" descr="soudex metal noir.jpg">
          <a:extLst>
            <a:ext uri="{FF2B5EF4-FFF2-40B4-BE49-F238E27FC236}">
              <a16:creationId xmlns:a16="http://schemas.microsoft.com/office/drawing/2014/main" id="{00000000-0008-0000-0700-0000586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8040" name="Image 1" descr="soudex metal noir.jpg">
          <a:extLst>
            <a:ext uri="{FF2B5EF4-FFF2-40B4-BE49-F238E27FC236}">
              <a16:creationId xmlns:a16="http://schemas.microsoft.com/office/drawing/2014/main" id="{00000000-0008-0000-0800-0000586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59064" name="Image 1" descr="soudex metal noir.jpg">
          <a:extLst>
            <a:ext uri="{FF2B5EF4-FFF2-40B4-BE49-F238E27FC236}">
              <a16:creationId xmlns:a16="http://schemas.microsoft.com/office/drawing/2014/main" id="{00000000-0008-0000-0900-0000586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0088" name="Image 1" descr="soudex metal noir.jpg">
          <a:extLst>
            <a:ext uri="{FF2B5EF4-FFF2-40B4-BE49-F238E27FC236}">
              <a16:creationId xmlns:a16="http://schemas.microsoft.com/office/drawing/2014/main" id="{00000000-0008-0000-0A00-0000587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1112" name="Image 1" descr="soudex metal noir.jpg">
          <a:extLst>
            <a:ext uri="{FF2B5EF4-FFF2-40B4-BE49-F238E27FC236}">
              <a16:creationId xmlns:a16="http://schemas.microsoft.com/office/drawing/2014/main" id="{00000000-0008-0000-0B00-0000587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2136" name="Image 1" descr="soudex metal noir.jpg">
          <a:extLst>
            <a:ext uri="{FF2B5EF4-FFF2-40B4-BE49-F238E27FC236}">
              <a16:creationId xmlns:a16="http://schemas.microsoft.com/office/drawing/2014/main" id="{00000000-0008-0000-0C00-0000587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3160" name="Image 1" descr="soudex metal noir.jpg">
          <a:extLst>
            <a:ext uri="{FF2B5EF4-FFF2-40B4-BE49-F238E27FC236}">
              <a16:creationId xmlns:a16="http://schemas.microsoft.com/office/drawing/2014/main" id="{00000000-0008-0000-0D00-0000587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64184" name="Image 1" descr="soudex metal noir.jpg">
          <a:extLst>
            <a:ext uri="{FF2B5EF4-FFF2-40B4-BE49-F238E27FC236}">
              <a16:creationId xmlns:a16="http://schemas.microsoft.com/office/drawing/2014/main" id="{00000000-0008-0000-0E00-0000588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8826" name="Image 1" descr="soudex metal noir.jpg">
          <a:extLst>
            <a:ext uri="{FF2B5EF4-FFF2-40B4-BE49-F238E27FC236}">
              <a16:creationId xmlns:a16="http://schemas.microsoft.com/office/drawing/2014/main" id="{00000000-0008-0000-0F00-00005A4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7802" name="Image 1" descr="soudex metal noir.jpg">
          <a:extLst>
            <a:ext uri="{FF2B5EF4-FFF2-40B4-BE49-F238E27FC236}">
              <a16:creationId xmlns:a16="http://schemas.microsoft.com/office/drawing/2014/main" id="{00000000-0008-0000-1000-00005A4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6814" name="Image 1" descr="soudex metal noir.jpg">
          <a:extLst>
            <a:ext uri="{FF2B5EF4-FFF2-40B4-BE49-F238E27FC236}">
              <a16:creationId xmlns:a16="http://schemas.microsoft.com/office/drawing/2014/main" id="{00000000-0008-0000-1100-00007E3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5791" name="Image 1" descr="soudex metal noir.jpg">
          <a:extLst>
            <a:ext uri="{FF2B5EF4-FFF2-40B4-BE49-F238E27FC236}">
              <a16:creationId xmlns:a16="http://schemas.microsoft.com/office/drawing/2014/main" id="{00000000-0008-0000-1200-00007F3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4768" name="Image 1" descr="soudex metal noir.jpg">
          <a:extLst>
            <a:ext uri="{FF2B5EF4-FFF2-40B4-BE49-F238E27FC236}">
              <a16:creationId xmlns:a16="http://schemas.microsoft.com/office/drawing/2014/main" id="{00000000-0008-0000-1300-0000803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3745" name="Image 1" descr="soudex metal noir.jpg">
          <a:extLst>
            <a:ext uri="{FF2B5EF4-FFF2-40B4-BE49-F238E27FC236}">
              <a16:creationId xmlns:a16="http://schemas.microsoft.com/office/drawing/2014/main" id="{00000000-0008-0000-1400-0000813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2722" name="Image 1" descr="soudex metal noir.jpg">
          <a:extLst>
            <a:ext uri="{FF2B5EF4-FFF2-40B4-BE49-F238E27FC236}">
              <a16:creationId xmlns:a16="http://schemas.microsoft.com/office/drawing/2014/main" id="{00000000-0008-0000-1500-0000822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1699" name="Image 1" descr="soudex metal noir.jpg">
          <a:extLst>
            <a:ext uri="{FF2B5EF4-FFF2-40B4-BE49-F238E27FC236}">
              <a16:creationId xmlns:a16="http://schemas.microsoft.com/office/drawing/2014/main" id="{00000000-0008-0000-1600-00008329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40676" name="Image 1" descr="soudex metal noir.jpg">
          <a:extLst>
            <a:ext uri="{FF2B5EF4-FFF2-40B4-BE49-F238E27FC236}">
              <a16:creationId xmlns:a16="http://schemas.microsoft.com/office/drawing/2014/main" id="{00000000-0008-0000-1700-0000842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9653" name="Image 1" descr="soudex metal noir.jpg">
          <a:extLst>
            <a:ext uri="{FF2B5EF4-FFF2-40B4-BE49-F238E27FC236}">
              <a16:creationId xmlns:a16="http://schemas.microsoft.com/office/drawing/2014/main" id="{00000000-0008-0000-1800-00008521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8630" name="Image 1" descr="soudex metal noir.jpg">
          <a:extLst>
            <a:ext uri="{FF2B5EF4-FFF2-40B4-BE49-F238E27FC236}">
              <a16:creationId xmlns:a16="http://schemas.microsoft.com/office/drawing/2014/main" id="{00000000-0008-0000-1900-0000861D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3653" name="Image 1" descr="soudex metal noir.jpg">
          <a:extLst>
            <a:ext uri="{FF2B5EF4-FFF2-40B4-BE49-F238E27FC236}">
              <a16:creationId xmlns:a16="http://schemas.microsoft.com/office/drawing/2014/main" id="{00000000-0008-0000-1A00-0000150A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4677" name="Image 1" descr="soudex metal noir.jpg">
          <a:extLst>
            <a:ext uri="{FF2B5EF4-FFF2-40B4-BE49-F238E27FC236}">
              <a16:creationId xmlns:a16="http://schemas.microsoft.com/office/drawing/2014/main" id="{00000000-0008-0000-1B00-0000150E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5701" name="Image 1" descr="soudex metal noir.jpg">
          <a:extLst>
            <a:ext uri="{FF2B5EF4-FFF2-40B4-BE49-F238E27FC236}">
              <a16:creationId xmlns:a16="http://schemas.microsoft.com/office/drawing/2014/main" id="{00000000-0008-0000-1C00-00001512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6725" name="Image 1" descr="soudex metal noir.jpg">
          <a:extLst>
            <a:ext uri="{FF2B5EF4-FFF2-40B4-BE49-F238E27FC236}">
              <a16:creationId xmlns:a16="http://schemas.microsoft.com/office/drawing/2014/main" id="{00000000-0008-0000-1D00-00001516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7749" name="Image 1" descr="soudex metal noir.jpg">
          <a:extLst>
            <a:ext uri="{FF2B5EF4-FFF2-40B4-BE49-F238E27FC236}">
              <a16:creationId xmlns:a16="http://schemas.microsoft.com/office/drawing/2014/main" id="{00000000-0008-0000-1E00-0000151A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6486" name="Image 1" descr="soudex metal noir.jpg">
          <a:extLst>
            <a:ext uri="{FF2B5EF4-FFF2-40B4-BE49-F238E27FC236}">
              <a16:creationId xmlns:a16="http://schemas.microsoft.com/office/drawing/2014/main" id="{00000000-0008-0000-1F00-000016E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7510" name="Image 1" descr="soudex metal noir.jpg">
          <a:extLst>
            <a:ext uri="{FF2B5EF4-FFF2-40B4-BE49-F238E27FC236}">
              <a16:creationId xmlns:a16="http://schemas.microsoft.com/office/drawing/2014/main" id="{00000000-0008-0000-2000-000016F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8534" name="Image 1" descr="soudex metal noir.jpg">
          <a:extLst>
            <a:ext uri="{FF2B5EF4-FFF2-40B4-BE49-F238E27FC236}">
              <a16:creationId xmlns:a16="http://schemas.microsoft.com/office/drawing/2014/main" id="{00000000-0008-0000-2100-000016F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9558" name="Image 1" descr="soudex metal noir.jpg">
          <a:extLst>
            <a:ext uri="{FF2B5EF4-FFF2-40B4-BE49-F238E27FC236}">
              <a16:creationId xmlns:a16="http://schemas.microsoft.com/office/drawing/2014/main" id="{00000000-0008-0000-2200-000016F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0582" name="Image 1" descr="soudex metal noir.jpg">
          <a:extLst>
            <a:ext uri="{FF2B5EF4-FFF2-40B4-BE49-F238E27FC236}">
              <a16:creationId xmlns:a16="http://schemas.microsoft.com/office/drawing/2014/main" id="{00000000-0008-0000-2300-000016F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1606" name="Image 1" descr="soudex metal noir.jpg">
          <a:extLst>
            <a:ext uri="{FF2B5EF4-FFF2-40B4-BE49-F238E27FC236}">
              <a16:creationId xmlns:a16="http://schemas.microsoft.com/office/drawing/2014/main" id="{00000000-0008-0000-2400-00001602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32630" name="Image 1" descr="soudex metal noir.jpg">
          <a:extLst>
            <a:ext uri="{FF2B5EF4-FFF2-40B4-BE49-F238E27FC236}">
              <a16:creationId xmlns:a16="http://schemas.microsoft.com/office/drawing/2014/main" id="{00000000-0008-0000-2500-00001606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5239" name="Image 1" descr="soudex metal noir.jpg">
          <a:extLst>
            <a:ext uri="{FF2B5EF4-FFF2-40B4-BE49-F238E27FC236}">
              <a16:creationId xmlns:a16="http://schemas.microsoft.com/office/drawing/2014/main" id="{00000000-0008-0000-2600-000027C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6263" name="Image 1" descr="soudex metal noir.jpg">
          <a:extLst>
            <a:ext uri="{FF2B5EF4-FFF2-40B4-BE49-F238E27FC236}">
              <a16:creationId xmlns:a16="http://schemas.microsoft.com/office/drawing/2014/main" id="{00000000-0008-0000-2700-000027C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7287" name="Image 1" descr="soudex metal noir.jpg">
          <a:extLst>
            <a:ext uri="{FF2B5EF4-FFF2-40B4-BE49-F238E27FC236}">
              <a16:creationId xmlns:a16="http://schemas.microsoft.com/office/drawing/2014/main" id="{00000000-0008-0000-2800-000027C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8311" name="Image 1" descr="soudex metal noir.jpg">
          <a:extLst>
            <a:ext uri="{FF2B5EF4-FFF2-40B4-BE49-F238E27FC236}">
              <a16:creationId xmlns:a16="http://schemas.microsoft.com/office/drawing/2014/main" id="{00000000-0008-0000-2900-000027C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9335" name="Image 1" descr="soudex metal noir.jpg">
          <a:extLst>
            <a:ext uri="{FF2B5EF4-FFF2-40B4-BE49-F238E27FC236}">
              <a16:creationId xmlns:a16="http://schemas.microsoft.com/office/drawing/2014/main" id="{00000000-0008-0000-2A00-000027D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0359" name="Image 1" descr="soudex metal noir.jpg">
          <a:extLst>
            <a:ext uri="{FF2B5EF4-FFF2-40B4-BE49-F238E27FC236}">
              <a16:creationId xmlns:a16="http://schemas.microsoft.com/office/drawing/2014/main" id="{00000000-0008-0000-2B00-000027D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1383" name="Image 1" descr="soudex metal noir.jpg">
          <a:extLst>
            <a:ext uri="{FF2B5EF4-FFF2-40B4-BE49-F238E27FC236}">
              <a16:creationId xmlns:a16="http://schemas.microsoft.com/office/drawing/2014/main" id="{00000000-0008-0000-2C00-000027D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2407" name="Image 1" descr="soudex metal noir.jpg">
          <a:extLst>
            <a:ext uri="{FF2B5EF4-FFF2-40B4-BE49-F238E27FC236}">
              <a16:creationId xmlns:a16="http://schemas.microsoft.com/office/drawing/2014/main" id="{00000000-0008-0000-2D00-000027D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3192" name="Image 1" descr="soudex metal noir.jpg">
          <a:extLst>
            <a:ext uri="{FF2B5EF4-FFF2-40B4-BE49-F238E27FC236}">
              <a16:creationId xmlns:a16="http://schemas.microsoft.com/office/drawing/2014/main" id="{00000000-0008-0000-2E00-000028B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14216" name="Image 1" descr="soudex metal noir.jpg">
          <a:extLst>
            <a:ext uri="{FF2B5EF4-FFF2-40B4-BE49-F238E27FC236}">
              <a16:creationId xmlns:a16="http://schemas.microsoft.com/office/drawing/2014/main" id="{00000000-0008-0000-2F00-000028B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09410" name="Image 1" descr="soudex metal noir.jpg">
          <a:extLst>
            <a:ext uri="{FF2B5EF4-FFF2-40B4-BE49-F238E27FC236}">
              <a16:creationId xmlns:a16="http://schemas.microsoft.com/office/drawing/2014/main" id="{00000000-0008-0000-3000-000062A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3431" name="Image 1" descr="soudex metal noir.jpg">
          <a:extLst>
            <a:ext uri="{FF2B5EF4-FFF2-40B4-BE49-F238E27FC236}">
              <a16:creationId xmlns:a16="http://schemas.microsoft.com/office/drawing/2014/main" id="{00000000-0008-0000-3100-000027E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4455" name="Image 1" descr="soudex metal noir.jpg">
          <a:extLst>
            <a:ext uri="{FF2B5EF4-FFF2-40B4-BE49-F238E27FC236}">
              <a16:creationId xmlns:a16="http://schemas.microsoft.com/office/drawing/2014/main" id="{00000000-0008-0000-3200-000027E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161925</xdr:colOff>
      <xdr:row>0</xdr:row>
      <xdr:rowOff>466725</xdr:rowOff>
    </xdr:to>
    <xdr:pic>
      <xdr:nvPicPr>
        <xdr:cNvPr id="125479" name="Image 1" descr="soudex metal noir.jpg">
          <a:extLst>
            <a:ext uri="{FF2B5EF4-FFF2-40B4-BE49-F238E27FC236}">
              <a16:creationId xmlns:a16="http://schemas.microsoft.com/office/drawing/2014/main" id="{00000000-0008-0000-3300-000027EA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4099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EUILLE%20DE%20TEMPS\Mathieu\Moi\TIMSIDE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SIDEE"/>
    </sheetNames>
    <definedNames>
      <definedName name="Remplit_Ligne"/>
      <definedName name="TrouveL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4"/>
  <sheetViews>
    <sheetView showZeros="0" zoomScaleNormal="100" workbookViewId="0">
      <selection activeCell="T25" sqref="T2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18" t="s">
        <v>40</v>
      </c>
      <c r="K1" s="118"/>
      <c r="L1" s="118"/>
      <c r="M1" s="118"/>
      <c r="N1" s="118"/>
      <c r="O1" s="118"/>
      <c r="P1" s="118"/>
      <c r="Q1" s="118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106" t="s">
        <v>91</v>
      </c>
      <c r="B4" s="107"/>
      <c r="C4" s="44"/>
      <c r="D4" s="9" t="s">
        <v>93</v>
      </c>
      <c r="E4" s="134">
        <v>44192</v>
      </c>
      <c r="F4" s="135"/>
      <c r="G4" s="135"/>
      <c r="H4" s="67" t="s">
        <v>4</v>
      </c>
      <c r="I4" s="136">
        <f>E4+6</f>
        <v>44198</v>
      </c>
      <c r="J4" s="137"/>
      <c r="K4" s="137"/>
      <c r="L4" s="76"/>
      <c r="M4" s="19"/>
      <c r="N4" s="78">
        <v>52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30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>
        <v>0</v>
      </c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>
        <v>0</v>
      </c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>
        <v>0</v>
      </c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>
        <v>0</v>
      </c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>
        <v>0</v>
      </c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>
        <v>0</v>
      </c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>
        <v>0</v>
      </c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>
        <v>0</v>
      </c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>
        <v>0</v>
      </c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>
        <v>0</v>
      </c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>
        <v>0</v>
      </c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128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129"/>
      <c r="E29" s="69"/>
      <c r="F29" s="70">
        <f t="shared" ref="F29:Q29" si="1">SUM(F7:F28)</f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34"/>
  <sheetViews>
    <sheetView showZeros="0" topLeftCell="A13" zoomScale="115" workbookViewId="0">
      <selection activeCell="S25" sqref="S2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('52'!E4:G4)-7</f>
        <v>44185</v>
      </c>
      <c r="F4" s="142"/>
      <c r="G4" s="142"/>
      <c r="H4" s="67" t="s">
        <v>4</v>
      </c>
      <c r="I4" s="136">
        <f>E4+6</f>
        <v>44191</v>
      </c>
      <c r="J4" s="137"/>
      <c r="K4" s="137"/>
      <c r="L4" s="76"/>
      <c r="M4" s="19"/>
      <c r="N4" s="78">
        <v>51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('51'!E4:G4)-7</f>
        <v>44178</v>
      </c>
      <c r="F4" s="142"/>
      <c r="G4" s="142"/>
      <c r="H4" s="67" t="s">
        <v>4</v>
      </c>
      <c r="I4" s="136">
        <f>E4+6</f>
        <v>44184</v>
      </c>
      <c r="J4" s="137"/>
      <c r="K4" s="137"/>
      <c r="L4" s="76"/>
      <c r="M4" s="19"/>
      <c r="N4" s="78">
        <v>50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V34"/>
  <sheetViews>
    <sheetView showZeros="0" topLeftCell="A10" zoomScale="115" workbookViewId="0">
      <selection activeCell="R24" sqref="R2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('50'!E4:G4)-7</f>
        <v>44171</v>
      </c>
      <c r="F4" s="142"/>
      <c r="G4" s="142"/>
      <c r="H4" s="67" t="s">
        <v>4</v>
      </c>
      <c r="I4" s="136">
        <f>E4+6</f>
        <v>44177</v>
      </c>
      <c r="J4" s="137"/>
      <c r="K4" s="137"/>
      <c r="L4" s="76"/>
      <c r="M4" s="19"/>
      <c r="N4" s="78">
        <v>49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V34"/>
  <sheetViews>
    <sheetView showZeros="0" topLeftCell="A13" zoomScale="115" workbookViewId="0">
      <selection activeCell="R19" sqref="R1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('49'!E4:G4)-7</f>
        <v>44164</v>
      </c>
      <c r="F4" s="142"/>
      <c r="G4" s="142"/>
      <c r="H4" s="67" t="s">
        <v>4</v>
      </c>
      <c r="I4" s="136">
        <f>E4+6</f>
        <v>44170</v>
      </c>
      <c r="J4" s="137"/>
      <c r="K4" s="137"/>
      <c r="L4" s="76"/>
      <c r="M4" s="19"/>
      <c r="N4" s="78">
        <v>48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('48'!E4:G4)-7</f>
        <v>44157</v>
      </c>
      <c r="F4" s="142"/>
      <c r="G4" s="142"/>
      <c r="H4" s="67" t="s">
        <v>4</v>
      </c>
      <c r="I4" s="136">
        <f>E4+6</f>
        <v>44163</v>
      </c>
      <c r="J4" s="137"/>
      <c r="K4" s="137"/>
      <c r="L4" s="76"/>
      <c r="M4" s="19"/>
      <c r="N4" s="78">
        <v>47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90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32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/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/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/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/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/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P29" si="1">SUM(D7:D28)</f>
        <v>0</v>
      </c>
      <c r="E29" s="69"/>
      <c r="F29" s="70">
        <f t="shared" si="1"/>
        <v>0</v>
      </c>
      <c r="G29" s="68"/>
      <c r="H29" s="71">
        <f>SUM(H9:H28)</f>
        <v>0</v>
      </c>
      <c r="I29" s="69"/>
      <c r="J29" s="70">
        <f>SUM(J9:J28)</f>
        <v>0</v>
      </c>
      <c r="K29" s="69"/>
      <c r="L29" s="70">
        <f>SUM(L10:L28)</f>
        <v>0</v>
      </c>
      <c r="M29" s="69"/>
      <c r="N29" s="70">
        <f>SUM(N11:N28)</f>
        <v>0</v>
      </c>
      <c r="O29" s="69"/>
      <c r="P29" s="70">
        <f t="shared" si="1"/>
        <v>0</v>
      </c>
      <c r="Q29" s="73">
        <f>SUM(H29:P29)</f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V34"/>
  <sheetViews>
    <sheetView showZeros="0" zoomScale="115" workbookViewId="0">
      <selection activeCell="G13" sqref="G13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('47'!E4:G4)-7</f>
        <v>44150</v>
      </c>
      <c r="F4" s="142"/>
      <c r="G4" s="142"/>
      <c r="H4" s="67" t="s">
        <v>4</v>
      </c>
      <c r="I4" s="136">
        <f>E4+6</f>
        <v>44156</v>
      </c>
      <c r="J4" s="137"/>
      <c r="K4" s="137"/>
      <c r="L4" s="76"/>
      <c r="M4" s="19"/>
      <c r="N4" s="78">
        <v>46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('46'!E4:G4)-7</f>
        <v>44143</v>
      </c>
      <c r="F4" s="142"/>
      <c r="G4" s="142"/>
      <c r="H4" s="67" t="s">
        <v>4</v>
      </c>
      <c r="I4" s="136">
        <f>E4+6</f>
        <v>44149</v>
      </c>
      <c r="J4" s="137"/>
      <c r="K4" s="137"/>
      <c r="L4" s="76"/>
      <c r="M4" s="19"/>
      <c r="N4" s="78">
        <v>45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('45'!E4:G4)-7</f>
        <v>44136</v>
      </c>
      <c r="F4" s="142"/>
      <c r="G4" s="142"/>
      <c r="H4" s="67" t="s">
        <v>4</v>
      </c>
      <c r="I4" s="136">
        <f>E4+6</f>
        <v>44142</v>
      </c>
      <c r="J4" s="137"/>
      <c r="K4" s="137"/>
      <c r="L4" s="76"/>
      <c r="M4" s="19"/>
      <c r="N4" s="78">
        <v>44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V34"/>
  <sheetViews>
    <sheetView showZeros="0" topLeftCell="A4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('44'!E4:G4)-7</f>
        <v>44129</v>
      </c>
      <c r="F4" s="142"/>
      <c r="G4" s="142"/>
      <c r="H4" s="67" t="s">
        <v>4</v>
      </c>
      <c r="I4" s="136">
        <f>E4+6</f>
        <v>44135</v>
      </c>
      <c r="J4" s="137"/>
      <c r="K4" s="137"/>
      <c r="L4" s="76"/>
      <c r="M4" s="19"/>
      <c r="N4" s="78">
        <v>43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>SUM(P18,N18,L18,J18,H18,F18,D18)</f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>SUM(P19,N19,L19,J19,H19,F19,D19)</f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('43'!E4:G4)-7</f>
        <v>44122</v>
      </c>
      <c r="F4" s="142"/>
      <c r="G4" s="142"/>
      <c r="H4" s="67" t="s">
        <v>4</v>
      </c>
      <c r="I4" s="136">
        <f>E4+6</f>
        <v>44128</v>
      </c>
      <c r="J4" s="137"/>
      <c r="K4" s="137"/>
      <c r="L4" s="76"/>
      <c r="M4" s="19"/>
      <c r="N4" s="78">
        <v>42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V34"/>
  <sheetViews>
    <sheetView showZeros="0" zoomScale="115" workbookViewId="0">
      <selection activeCell="B8" sqref="B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('42'!E4:G4)-7</f>
        <v>44115</v>
      </c>
      <c r="F4" s="142"/>
      <c r="G4" s="142"/>
      <c r="H4" s="67" t="s">
        <v>4</v>
      </c>
      <c r="I4" s="136">
        <f>E4+6</f>
        <v>44121</v>
      </c>
      <c r="J4" s="137"/>
      <c r="K4" s="137"/>
      <c r="L4" s="76"/>
      <c r="M4" s="19"/>
      <c r="N4" s="78">
        <v>41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110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>SUM(P9,N9,L9,J9,H9,F9,D9)</f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ref="Q10:Q28" si="0">SUM(P10,N10,L10,J10,H10,F10,D10)</f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>SUM(J7:J28)</f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V34"/>
  <sheetViews>
    <sheetView showZeros="0" tabSelected="1" topLeftCell="A4" zoomScale="115" workbookViewId="0">
      <selection activeCell="N19" sqref="N1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('41'!E4:G4)-7</f>
        <v>44108</v>
      </c>
      <c r="F4" s="142"/>
      <c r="G4" s="142"/>
      <c r="H4" s="67" t="s">
        <v>4</v>
      </c>
      <c r="I4" s="136">
        <f>E4+6</f>
        <v>44114</v>
      </c>
      <c r="J4" s="137"/>
      <c r="K4" s="137"/>
      <c r="L4" s="76"/>
      <c r="M4" s="19"/>
      <c r="N4" s="78">
        <v>40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 t="s">
        <v>102</v>
      </c>
      <c r="B7" s="81"/>
      <c r="C7" s="47"/>
      <c r="D7" s="40"/>
      <c r="E7" s="54"/>
      <c r="F7" s="40"/>
      <c r="G7" s="61" t="s">
        <v>101</v>
      </c>
      <c r="H7" s="59">
        <v>1</v>
      </c>
      <c r="I7" s="54" t="s">
        <v>101</v>
      </c>
      <c r="J7" s="40">
        <v>0</v>
      </c>
      <c r="K7" s="54"/>
      <c r="L7" s="59"/>
      <c r="M7" s="54"/>
      <c r="N7" s="40"/>
      <c r="O7" s="54"/>
      <c r="P7" s="40"/>
      <c r="Q7" s="46">
        <f>SUM(P7,N7,L7,J7,H7,F7,D7)</f>
        <v>1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 t="s">
        <v>36</v>
      </c>
      <c r="H8" s="36">
        <v>1</v>
      </c>
      <c r="I8" s="55" t="s">
        <v>36</v>
      </c>
      <c r="J8" s="20">
        <v>1</v>
      </c>
      <c r="K8" s="55"/>
      <c r="L8" s="36"/>
      <c r="M8" s="55"/>
      <c r="N8" s="20"/>
      <c r="O8" s="55"/>
      <c r="P8" s="20"/>
      <c r="Q8" s="46">
        <f t="shared" ref="Q8:Q28" si="0">SUM(P8,N8,L8,J8,H8,F8,D8)</f>
        <v>2</v>
      </c>
      <c r="S8" s="1"/>
    </row>
    <row r="9" spans="1:22" ht="17.25" customHeight="1" x14ac:dyDescent="0.2">
      <c r="A9" s="28" t="s">
        <v>103</v>
      </c>
      <c r="B9" s="32"/>
      <c r="C9" s="49"/>
      <c r="D9" s="41"/>
      <c r="E9" s="56"/>
      <c r="F9" s="41"/>
      <c r="G9" s="63" t="s">
        <v>36</v>
      </c>
      <c r="H9" s="60">
        <v>1</v>
      </c>
      <c r="I9" s="56" t="s">
        <v>36</v>
      </c>
      <c r="J9" s="41">
        <v>0</v>
      </c>
      <c r="K9" s="56"/>
      <c r="L9" s="60"/>
      <c r="M9" s="56"/>
      <c r="N9" s="41"/>
      <c r="O9" s="56"/>
      <c r="P9" s="41"/>
      <c r="Q9" s="46">
        <f t="shared" si="0"/>
        <v>1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 t="s">
        <v>37</v>
      </c>
      <c r="H10" s="37">
        <v>1</v>
      </c>
      <c r="I10" s="57" t="s">
        <v>37</v>
      </c>
      <c r="J10" s="31">
        <v>1</v>
      </c>
      <c r="K10" s="57"/>
      <c r="L10" s="37"/>
      <c r="M10" s="57"/>
      <c r="N10" s="31"/>
      <c r="O10" s="57"/>
      <c r="P10" s="31"/>
      <c r="Q10" s="46">
        <f t="shared" si="0"/>
        <v>2</v>
      </c>
      <c r="S10" s="1"/>
    </row>
    <row r="11" spans="1:22" ht="17.25" customHeight="1" x14ac:dyDescent="0.2">
      <c r="A11" s="28" t="s">
        <v>104</v>
      </c>
      <c r="B11" s="79"/>
      <c r="C11" s="49"/>
      <c r="D11" s="41"/>
      <c r="E11" s="56"/>
      <c r="F11" s="41"/>
      <c r="G11" s="63"/>
      <c r="H11" s="60">
        <v>0</v>
      </c>
      <c r="I11" s="56" t="s">
        <v>36</v>
      </c>
      <c r="J11" s="41">
        <v>0.25</v>
      </c>
      <c r="K11" s="56"/>
      <c r="L11" s="60"/>
      <c r="M11" s="56"/>
      <c r="N11" s="41"/>
      <c r="O11" s="56"/>
      <c r="P11" s="41"/>
      <c r="Q11" s="46">
        <f t="shared" si="0"/>
        <v>0.25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>
        <v>0</v>
      </c>
      <c r="I12" s="57"/>
      <c r="J12" s="31">
        <v>0</v>
      </c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>
        <v>0</v>
      </c>
      <c r="I13" s="56"/>
      <c r="J13" s="41">
        <v>0</v>
      </c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>
        <v>0</v>
      </c>
      <c r="I14" s="57"/>
      <c r="J14" s="31">
        <v>0</v>
      </c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>
        <v>0</v>
      </c>
      <c r="I15" s="56"/>
      <c r="J15" s="41">
        <v>0</v>
      </c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>
        <v>0</v>
      </c>
      <c r="I16" s="57"/>
      <c r="J16" s="31">
        <v>0</v>
      </c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>
        <v>0</v>
      </c>
      <c r="I17" s="56"/>
      <c r="J17" s="41">
        <v>0</v>
      </c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>
        <v>0</v>
      </c>
      <c r="I18" s="57"/>
      <c r="J18" s="31">
        <v>0</v>
      </c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>
        <v>0</v>
      </c>
      <c r="I19" s="56"/>
      <c r="J19" s="41">
        <v>0</v>
      </c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>
        <v>0</v>
      </c>
      <c r="I20" s="57"/>
      <c r="J20" s="31">
        <v>0</v>
      </c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>
        <v>0</v>
      </c>
      <c r="I21" s="56"/>
      <c r="J21" s="41">
        <v>0</v>
      </c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>
        <v>0</v>
      </c>
      <c r="I22" s="57"/>
      <c r="J22" s="31">
        <v>0</v>
      </c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>
        <v>0</v>
      </c>
      <c r="I23" s="56"/>
      <c r="J23" s="41">
        <v>0</v>
      </c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>
        <v>0</v>
      </c>
      <c r="I24" s="57"/>
      <c r="J24" s="31">
        <v>0</v>
      </c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>
        <v>0</v>
      </c>
      <c r="I25" s="56"/>
      <c r="J25" s="41">
        <v>0</v>
      </c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>
        <v>0</v>
      </c>
      <c r="I26" s="57"/>
      <c r="J26" s="31">
        <v>0</v>
      </c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 t="s">
        <v>94</v>
      </c>
      <c r="C27" s="49"/>
      <c r="D27" s="41"/>
      <c r="E27" s="56"/>
      <c r="F27" s="41"/>
      <c r="G27" s="63"/>
      <c r="H27" s="60">
        <v>0.25</v>
      </c>
      <c r="I27" s="56"/>
      <c r="J27" s="41">
        <v>0</v>
      </c>
      <c r="K27" s="56"/>
      <c r="L27" s="60"/>
      <c r="M27" s="56"/>
      <c r="N27" s="41"/>
      <c r="O27" s="56"/>
      <c r="P27" s="41"/>
      <c r="Q27" s="46">
        <f t="shared" si="0"/>
        <v>0.25</v>
      </c>
      <c r="S27" s="1"/>
    </row>
    <row r="28" spans="1:19" ht="17.25" customHeight="1" thickBot="1" x14ac:dyDescent="0.25">
      <c r="A28" s="83"/>
      <c r="B28" s="30" t="s">
        <v>95</v>
      </c>
      <c r="C28" s="50"/>
      <c r="D28" s="21"/>
      <c r="E28" s="58"/>
      <c r="F28" s="53"/>
      <c r="G28" s="65"/>
      <c r="H28" s="38">
        <v>0.25</v>
      </c>
      <c r="I28" s="66"/>
      <c r="J28" s="53">
        <v>0</v>
      </c>
      <c r="K28" s="66"/>
      <c r="L28" s="38"/>
      <c r="M28" s="66"/>
      <c r="N28" s="53"/>
      <c r="O28" s="66"/>
      <c r="P28" s="21"/>
      <c r="Q28" s="72">
        <f t="shared" si="0"/>
        <v>0.25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4.5</v>
      </c>
      <c r="I29" s="69"/>
      <c r="J29" s="70">
        <f t="shared" si="1"/>
        <v>2.25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6.75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V34"/>
  <sheetViews>
    <sheetView showZeros="0" zoomScale="115" workbookViewId="0">
      <selection activeCell="E24" sqref="E2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('40'!E4:G4)-7</f>
        <v>44101</v>
      </c>
      <c r="F4" s="142"/>
      <c r="G4" s="142"/>
      <c r="H4" s="67" t="s">
        <v>4</v>
      </c>
      <c r="I4" s="136">
        <f>E4+6</f>
        <v>44107</v>
      </c>
      <c r="J4" s="137"/>
      <c r="K4" s="137"/>
      <c r="L4" s="76"/>
      <c r="M4" s="19"/>
      <c r="N4" s="78">
        <v>39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>
        <v>0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105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>
        <v>0</v>
      </c>
      <c r="G8" s="62"/>
      <c r="H8" s="36"/>
      <c r="I8" s="55"/>
      <c r="J8" s="20"/>
      <c r="K8" s="55"/>
      <c r="L8" s="36"/>
      <c r="M8" s="55"/>
      <c r="N8" s="20"/>
      <c r="O8" s="55"/>
      <c r="P8" s="20"/>
      <c r="Q8" s="105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>
        <v>0</v>
      </c>
      <c r="G9" s="63"/>
      <c r="H9" s="60"/>
      <c r="I9" s="56"/>
      <c r="J9" s="41"/>
      <c r="K9" s="56"/>
      <c r="L9" s="60"/>
      <c r="M9" s="56"/>
      <c r="N9" s="41"/>
      <c r="O9" s="56"/>
      <c r="P9" s="41"/>
      <c r="Q9" s="105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>
        <v>0</v>
      </c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105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>
        <v>0</v>
      </c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105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>
        <v>0</v>
      </c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105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>
        <v>0</v>
      </c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105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>
        <v>0</v>
      </c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105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>
        <v>0</v>
      </c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105">
        <f>SUM(P15,N15,L15,J15,H15,F15,D15)</f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>
        <v>0</v>
      </c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105">
        <f>SUM(P16,N16,L16,J16,H16,F16,D16)</f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>
        <v>0</v>
      </c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105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>
        <v>0</v>
      </c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105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>
        <v>0</v>
      </c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105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>
        <v>0</v>
      </c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105">
        <f>SUM(P20,N20,L20,J20,H20,F20,D20)</f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>
        <v>0</v>
      </c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105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>
        <v>0</v>
      </c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105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>
        <v>0</v>
      </c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105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>
        <v>0</v>
      </c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105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>
        <v>0</v>
      </c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105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>
        <v>0</v>
      </c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:U34"/>
  <sheetViews>
    <sheetView showZeros="0" zoomScale="115" workbookViewId="0">
      <selection activeCell="J16" sqref="J16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1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1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1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</row>
    <row r="4" spans="1:21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('39'!E4:G4)-7</f>
        <v>44094</v>
      </c>
      <c r="F4" s="142"/>
      <c r="G4" s="142"/>
      <c r="H4" s="67" t="s">
        <v>4</v>
      </c>
      <c r="I4" s="136">
        <f>E4+6</f>
        <v>44100</v>
      </c>
      <c r="J4" s="137"/>
      <c r="K4" s="137"/>
      <c r="L4" s="76"/>
      <c r="M4" s="19"/>
      <c r="N4" s="78">
        <v>38</v>
      </c>
      <c r="O4" s="10"/>
      <c r="P4" s="43"/>
      <c r="Q4" s="18"/>
      <c r="S4" s="7"/>
      <c r="T4" s="7"/>
      <c r="U4" s="7"/>
    </row>
    <row r="5" spans="1:21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</row>
    <row r="6" spans="1:21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</row>
    <row r="7" spans="1:21" ht="17.25" customHeight="1" x14ac:dyDescent="0.2">
      <c r="A7" s="104"/>
      <c r="B7" s="101"/>
      <c r="C7" s="126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</row>
    <row r="8" spans="1:21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</row>
    <row r="9" spans="1:21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3">
        <f>SUM(T9:T16,S24:T24)</f>
        <v>0</v>
      </c>
    </row>
    <row r="10" spans="1:21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</row>
    <row r="11" spans="1:21" ht="17.25" customHeight="1" x14ac:dyDescent="0.2">
      <c r="A11" s="97"/>
      <c r="B11" s="98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</row>
    <row r="12" spans="1:21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</row>
    <row r="13" spans="1:21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</row>
    <row r="14" spans="1:21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</row>
    <row r="15" spans="1:21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</row>
    <row r="16" spans="1:21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/>
  <dimension ref="A1:U34"/>
  <sheetViews>
    <sheetView showZeros="0" topLeftCell="A4" zoomScale="115" workbookViewId="0">
      <selection activeCell="R18" sqref="R1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1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1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1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</row>
    <row r="4" spans="1:21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('38'!E4:G4)-7</f>
        <v>44087</v>
      </c>
      <c r="F4" s="142"/>
      <c r="G4" s="142"/>
      <c r="H4" s="67" t="s">
        <v>4</v>
      </c>
      <c r="I4" s="136">
        <f>E4+6</f>
        <v>44093</v>
      </c>
      <c r="J4" s="137"/>
      <c r="K4" s="137"/>
      <c r="L4" s="76"/>
      <c r="M4" s="19"/>
      <c r="N4" s="78">
        <v>37</v>
      </c>
      <c r="O4" s="10"/>
      <c r="P4" s="43"/>
      <c r="Q4" s="18"/>
      <c r="S4" s="7"/>
      <c r="T4" s="7"/>
      <c r="U4" s="7"/>
    </row>
    <row r="5" spans="1:21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</row>
    <row r="6" spans="1:21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</row>
    <row r="7" spans="1:21" ht="17.25" customHeight="1" x14ac:dyDescent="0.2">
      <c r="A7" s="104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</row>
    <row r="8" spans="1:21" ht="17.25" customHeight="1" x14ac:dyDescent="0.2">
      <c r="A8" s="110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</row>
    <row r="9" spans="1:21" ht="17.25" customHeight="1" x14ac:dyDescent="0.2">
      <c r="A9" s="97"/>
      <c r="B9" s="101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</row>
    <row r="10" spans="1:21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</row>
    <row r="11" spans="1:21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</row>
    <row r="12" spans="1:21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</row>
    <row r="13" spans="1:21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</row>
    <row r="14" spans="1:21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</row>
    <row r="15" spans="1:21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</row>
    <row r="16" spans="1:21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</row>
    <row r="19" spans="1:19" ht="17.25" customHeight="1" x14ac:dyDescent="0.2">
      <c r="A19" s="97"/>
      <c r="B19" s="98"/>
      <c r="C19" s="99"/>
      <c r="D19" s="41"/>
      <c r="E19" s="56"/>
      <c r="F19" s="41"/>
      <c r="G19" s="63"/>
      <c r="H19" s="60"/>
      <c r="I19" s="57"/>
      <c r="J19" s="60"/>
      <c r="K19" s="56"/>
      <c r="L19" s="60"/>
      <c r="M19" s="56"/>
      <c r="N19" s="41"/>
      <c r="O19" s="56"/>
      <c r="P19" s="41"/>
      <c r="Q19" s="46">
        <f t="shared" si="0"/>
        <v>0</v>
      </c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</row>
    <row r="23" spans="1:19" ht="17.25" customHeight="1" x14ac:dyDescent="0.2">
      <c r="A23" s="97"/>
      <c r="B23" s="97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  <c r="S29" s="127"/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/>
  <dimension ref="A1:V34"/>
  <sheetViews>
    <sheetView showZeros="0" zoomScaleNormal="100" workbookViewId="0">
      <selection activeCell="D14" sqref="D1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('37'!E4:G4)-7</f>
        <v>44080</v>
      </c>
      <c r="F4" s="142"/>
      <c r="G4" s="142"/>
      <c r="H4" s="67" t="s">
        <v>4</v>
      </c>
      <c r="I4" s="136">
        <f>E4+6</f>
        <v>44086</v>
      </c>
      <c r="J4" s="137"/>
      <c r="K4" s="137"/>
      <c r="L4" s="76"/>
      <c r="M4" s="19"/>
      <c r="N4" s="78">
        <v>36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79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8"/>
  <dimension ref="A1:V34"/>
  <sheetViews>
    <sheetView showZeros="0" zoomScale="115" workbookViewId="0">
      <selection activeCell="B4" sqref="B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89"/>
      <c r="C4" s="44"/>
      <c r="D4" s="9" t="s">
        <v>3</v>
      </c>
      <c r="E4" s="136">
        <f>('36'!E4:G4)-7</f>
        <v>44073</v>
      </c>
      <c r="F4" s="142"/>
      <c r="G4" s="142"/>
      <c r="H4" s="67" t="s">
        <v>4</v>
      </c>
      <c r="I4" s="136">
        <f>E4+6</f>
        <v>44079</v>
      </c>
      <c r="J4" s="137"/>
      <c r="K4" s="137"/>
      <c r="L4" s="76"/>
      <c r="M4" s="19"/>
      <c r="N4" s="78">
        <v>35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9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('35'!E4:G4)-7</f>
        <v>44066</v>
      </c>
      <c r="F4" s="142"/>
      <c r="G4" s="142"/>
      <c r="H4" s="67" t="s">
        <v>4</v>
      </c>
      <c r="I4" s="136">
        <f>E4+6</f>
        <v>44072</v>
      </c>
      <c r="J4" s="137"/>
      <c r="K4" s="137"/>
      <c r="L4" s="76"/>
      <c r="M4" s="19"/>
      <c r="N4" s="78">
        <v>34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/>
  <dimension ref="A1:V34"/>
  <sheetViews>
    <sheetView showZeros="0" zoomScale="115" workbookViewId="0">
      <selection activeCell="A8" sqref="A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('34'!E4:G4)-7</f>
        <v>44059</v>
      </c>
      <c r="F4" s="142"/>
      <c r="G4" s="142"/>
      <c r="H4" s="67" t="s">
        <v>4</v>
      </c>
      <c r="I4" s="136">
        <f>E4+6</f>
        <v>44065</v>
      </c>
      <c r="J4" s="137"/>
      <c r="K4" s="137"/>
      <c r="L4" s="76"/>
      <c r="M4" s="19"/>
      <c r="N4" s="78">
        <v>33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>
        <v>21999</v>
      </c>
      <c r="B7" s="81" t="s">
        <v>92</v>
      </c>
      <c r="C7" s="47"/>
      <c r="D7" s="40"/>
      <c r="E7" s="54" t="s">
        <v>37</v>
      </c>
      <c r="F7" s="40">
        <v>0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86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1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('33'!E4:G4)-7</f>
        <v>44052</v>
      </c>
      <c r="F4" s="142"/>
      <c r="G4" s="142"/>
      <c r="H4" s="67" t="s">
        <v>4</v>
      </c>
      <c r="I4" s="136">
        <f>E4+6</f>
        <v>44058</v>
      </c>
      <c r="J4" s="137"/>
      <c r="K4" s="137"/>
      <c r="L4" s="76"/>
      <c r="M4" s="19"/>
      <c r="N4" s="78">
        <v>32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85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32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88">
        <f t="shared" si="1"/>
        <v>0</v>
      </c>
      <c r="G29" s="68"/>
      <c r="H29" s="87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2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('32'!E4:G4)-7</f>
        <v>44045</v>
      </c>
      <c r="F4" s="142"/>
      <c r="G4" s="142"/>
      <c r="H4" s="67" t="s">
        <v>4</v>
      </c>
      <c r="I4" s="136">
        <f>E4+6</f>
        <v>44051</v>
      </c>
      <c r="J4" s="137"/>
      <c r="K4" s="137"/>
      <c r="L4" s="76"/>
      <c r="M4" s="19"/>
      <c r="N4" s="78">
        <v>31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3"/>
  <dimension ref="A1:V34"/>
  <sheetViews>
    <sheetView showZeros="0" zoomScale="115" workbookViewId="0">
      <selection activeCell="E5" sqref="E5:F5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('31'!E4:G4)-7</f>
        <v>44038</v>
      </c>
      <c r="F4" s="142"/>
      <c r="G4" s="142"/>
      <c r="H4" s="67" t="s">
        <v>4</v>
      </c>
      <c r="I4" s="136">
        <f>E4+6</f>
        <v>44044</v>
      </c>
      <c r="J4" s="137"/>
      <c r="K4" s="137"/>
      <c r="L4" s="76"/>
      <c r="M4" s="19"/>
      <c r="N4" s="78">
        <v>30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4"/>
  <dimension ref="A1:V34"/>
  <sheetViews>
    <sheetView showZeros="0" zoomScaleNormal="100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('30'!E4:G4)-7</f>
        <v>44031</v>
      </c>
      <c r="F4" s="142"/>
      <c r="G4" s="142"/>
      <c r="H4" s="67" t="s">
        <v>4</v>
      </c>
      <c r="I4" s="136">
        <f>E4+6</f>
        <v>44037</v>
      </c>
      <c r="J4" s="137"/>
      <c r="K4" s="137"/>
      <c r="L4" s="76"/>
      <c r="M4" s="19"/>
      <c r="N4" s="78">
        <v>29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11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25"/>
  <dimension ref="A1:V34"/>
  <sheetViews>
    <sheetView showZeros="0" zoomScale="115" workbookViewId="0">
      <selection activeCell="G21" sqref="G2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('29'!E4:G4)-7</f>
        <v>44024</v>
      </c>
      <c r="F4" s="142"/>
      <c r="G4" s="142"/>
      <c r="H4" s="67" t="s">
        <v>4</v>
      </c>
      <c r="I4" s="136">
        <f>E4+6</f>
        <v>44030</v>
      </c>
      <c r="J4" s="137"/>
      <c r="K4" s="137"/>
      <c r="L4" s="76"/>
      <c r="M4" s="19"/>
      <c r="N4" s="78">
        <v>28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2"/>
      <c r="B7" s="92"/>
      <c r="C7" s="93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110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113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6"/>
  <dimension ref="A1:V34"/>
  <sheetViews>
    <sheetView showZeros="0" zoomScale="115" workbookViewId="0">
      <selection activeCell="E4" sqref="E4:G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('28'!E4:G4)-7</f>
        <v>44017</v>
      </c>
      <c r="F4" s="142"/>
      <c r="G4" s="142"/>
      <c r="H4" s="67" t="s">
        <v>4</v>
      </c>
      <c r="I4" s="136">
        <f>E4+6</f>
        <v>44023</v>
      </c>
      <c r="J4" s="137"/>
      <c r="K4" s="137"/>
      <c r="L4" s="76"/>
      <c r="M4" s="19"/>
      <c r="N4" s="78">
        <v>27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/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0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0</v>
      </c>
      <c r="G29" s="68"/>
      <c r="H29" s="71">
        <f t="shared" si="1"/>
        <v>0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7"/>
  <dimension ref="A1:V34"/>
  <sheetViews>
    <sheetView showZeros="0" zoomScale="115" workbookViewId="0">
      <selection activeCell="L8" sqref="L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('27'!E4:G4)-7</f>
        <v>44010</v>
      </c>
      <c r="F4" s="142"/>
      <c r="G4" s="142"/>
      <c r="H4" s="67" t="s">
        <v>4</v>
      </c>
      <c r="I4" s="136">
        <f>E4+6</f>
        <v>44016</v>
      </c>
      <c r="J4" s="137"/>
      <c r="K4" s="137"/>
      <c r="L4" s="76"/>
      <c r="M4" s="19"/>
      <c r="N4" s="78">
        <v>26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>
        <v>9</v>
      </c>
      <c r="G7" s="61"/>
      <c r="H7" s="59">
        <v>8</v>
      </c>
      <c r="I7" s="54"/>
      <c r="J7" s="40">
        <v>8</v>
      </c>
      <c r="K7" s="54"/>
      <c r="L7" s="59">
        <v>8</v>
      </c>
      <c r="M7" s="122"/>
      <c r="N7" s="123"/>
      <c r="O7" s="54"/>
      <c r="P7" s="40"/>
      <c r="Q7" s="46">
        <f>SUM(P7,N7,L7,J7,H7,F7,D7)</f>
        <v>33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124"/>
      <c r="N8" s="125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8</v>
      </c>
      <c r="I29" s="69"/>
      <c r="J29" s="70">
        <f t="shared" si="1"/>
        <v>8</v>
      </c>
      <c r="K29" s="69"/>
      <c r="L29" s="70">
        <f t="shared" si="1"/>
        <v>8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33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8"/>
  <dimension ref="A1:V34"/>
  <sheetViews>
    <sheetView showZeros="0" zoomScale="115" workbookViewId="0">
      <selection activeCell="B8" sqref="B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('26'!E4:G4)-7</f>
        <v>44003</v>
      </c>
      <c r="F4" s="142"/>
      <c r="G4" s="142"/>
      <c r="H4" s="67" t="s">
        <v>4</v>
      </c>
      <c r="I4" s="136">
        <f>E4+6</f>
        <v>44009</v>
      </c>
      <c r="J4" s="137"/>
      <c r="K4" s="137"/>
      <c r="L4" s="76"/>
      <c r="M4" s="19"/>
      <c r="N4" s="78">
        <v>25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90</v>
      </c>
      <c r="C7" s="47"/>
      <c r="D7" s="40"/>
      <c r="E7" s="47"/>
      <c r="F7" s="40">
        <v>8</v>
      </c>
      <c r="G7" s="61"/>
      <c r="H7" s="59">
        <v>8.5</v>
      </c>
      <c r="I7" s="122"/>
      <c r="J7" s="123">
        <v>9</v>
      </c>
      <c r="K7" s="54"/>
      <c r="L7" s="59">
        <v>4.5</v>
      </c>
      <c r="M7" s="54"/>
      <c r="N7" s="40"/>
      <c r="O7" s="54"/>
      <c r="P7" s="40"/>
      <c r="Q7" s="46">
        <f>SUM(P7,N7,L7,J7,H7,F7,D7)</f>
        <v>30</v>
      </c>
      <c r="S7" s="1"/>
    </row>
    <row r="8" spans="1:22" ht="17.25" customHeight="1" x14ac:dyDescent="0.2">
      <c r="A8" s="84"/>
      <c r="B8" s="82"/>
      <c r="C8" s="48"/>
      <c r="D8" s="20"/>
      <c r="E8" s="48"/>
      <c r="F8" s="20"/>
      <c r="G8" s="62"/>
      <c r="H8" s="36"/>
      <c r="I8" s="124"/>
      <c r="J8" s="125"/>
      <c r="K8" s="55"/>
      <c r="L8" s="36"/>
      <c r="M8" s="55"/>
      <c r="N8" s="20"/>
      <c r="O8" s="55"/>
      <c r="P8" s="20"/>
      <c r="Q8" s="46">
        <f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ref="Q9:Q28" si="0">SUM(P9,N9,L9,J9,H9,F9,D9)</f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8.5</v>
      </c>
      <c r="I29" s="69"/>
      <c r="J29" s="70">
        <f t="shared" si="1"/>
        <v>9</v>
      </c>
      <c r="K29" s="69"/>
      <c r="L29" s="70">
        <f t="shared" si="1"/>
        <v>4.5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30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29"/>
  <dimension ref="A1:V34"/>
  <sheetViews>
    <sheetView showZeros="0" zoomScale="115" workbookViewId="0">
      <selection activeCell="L9" sqref="L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('25'!E4:G4)-7</f>
        <v>43996</v>
      </c>
      <c r="F4" s="142"/>
      <c r="G4" s="142"/>
      <c r="H4" s="67" t="s">
        <v>4</v>
      </c>
      <c r="I4" s="136">
        <f>E4+6</f>
        <v>44002</v>
      </c>
      <c r="J4" s="137"/>
      <c r="K4" s="137"/>
      <c r="L4" s="76"/>
      <c r="M4" s="19"/>
      <c r="N4" s="78">
        <v>24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/>
      <c r="C7" s="47"/>
      <c r="D7" s="40"/>
      <c r="E7" s="54"/>
      <c r="F7" s="40">
        <v>9</v>
      </c>
      <c r="G7" s="61"/>
      <c r="H7" s="59">
        <v>6.25</v>
      </c>
      <c r="I7" s="54"/>
      <c r="J7" s="40">
        <v>11.5</v>
      </c>
      <c r="K7" s="54"/>
      <c r="L7" s="59">
        <v>8</v>
      </c>
      <c r="M7" s="54"/>
      <c r="N7" s="40">
        <v>4.5</v>
      </c>
      <c r="O7" s="54"/>
      <c r="P7" s="40"/>
      <c r="Q7" s="46">
        <f>SUM(P7,N7,L7,J7,H7,F7,D7)</f>
        <v>39.25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 t="s">
        <v>39</v>
      </c>
      <c r="B28" s="30" t="s">
        <v>38</v>
      </c>
      <c r="C28" s="50"/>
      <c r="D28" s="21"/>
      <c r="E28" s="58"/>
      <c r="F28" s="53"/>
      <c r="G28" s="65"/>
      <c r="H28" s="38"/>
      <c r="I28" s="66" t="s">
        <v>37</v>
      </c>
      <c r="J28" s="53">
        <v>0.5</v>
      </c>
      <c r="K28" s="66" t="s">
        <v>36</v>
      </c>
      <c r="L28" s="38">
        <v>3.75</v>
      </c>
      <c r="M28" s="66" t="s">
        <v>37</v>
      </c>
      <c r="N28" s="53">
        <v>0.5</v>
      </c>
      <c r="O28" s="66"/>
      <c r="P28" s="21"/>
      <c r="Q28" s="72">
        <f t="shared" si="0"/>
        <v>4.75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6.25</v>
      </c>
      <c r="I29" s="69"/>
      <c r="J29" s="70">
        <f t="shared" si="1"/>
        <v>12</v>
      </c>
      <c r="K29" s="69"/>
      <c r="L29" s="70">
        <f t="shared" si="1"/>
        <v>11.75</v>
      </c>
      <c r="M29" s="69"/>
      <c r="N29" s="70">
        <f t="shared" si="1"/>
        <v>5</v>
      </c>
      <c r="O29" s="69"/>
      <c r="P29" s="70">
        <f t="shared" si="1"/>
        <v>0</v>
      </c>
      <c r="Q29" s="73">
        <f t="shared" si="1"/>
        <v>44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0"/>
  <dimension ref="A1:V34"/>
  <sheetViews>
    <sheetView showZeros="0" zoomScale="115" workbookViewId="0">
      <selection activeCell="N8" sqref="N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('24'!E4:G4)-7</f>
        <v>43989</v>
      </c>
      <c r="F4" s="142"/>
      <c r="G4" s="142"/>
      <c r="H4" s="67" t="s">
        <v>4</v>
      </c>
      <c r="I4" s="136">
        <f>E4+6</f>
        <v>43995</v>
      </c>
      <c r="J4" s="137"/>
      <c r="K4" s="137"/>
      <c r="L4" s="76"/>
      <c r="M4" s="19"/>
      <c r="N4" s="78">
        <v>23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/>
      <c r="C7" s="93"/>
      <c r="D7" s="40"/>
      <c r="E7" s="54"/>
      <c r="F7" s="40">
        <v>8.75</v>
      </c>
      <c r="G7" s="61"/>
      <c r="H7" s="59">
        <v>9</v>
      </c>
      <c r="I7" s="54"/>
      <c r="J7" s="40">
        <v>8.5</v>
      </c>
      <c r="K7" s="54"/>
      <c r="L7" s="59">
        <v>8</v>
      </c>
      <c r="M7" s="54"/>
      <c r="N7" s="40">
        <v>4</v>
      </c>
      <c r="O7" s="54"/>
      <c r="P7" s="40"/>
      <c r="Q7" s="46">
        <f>SUM(P7,N7,L7,J7,H7,F7,D7)</f>
        <v>38.25</v>
      </c>
      <c r="S7" s="1"/>
    </row>
    <row r="8" spans="1:22" ht="17.25" customHeight="1" x14ac:dyDescent="0.2">
      <c r="A8" s="94"/>
      <c r="B8" s="95"/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108"/>
      <c r="B28" s="102"/>
      <c r="C28" s="109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8.75</v>
      </c>
      <c r="G29" s="68"/>
      <c r="H29" s="71">
        <f t="shared" si="1"/>
        <v>9</v>
      </c>
      <c r="I29" s="69"/>
      <c r="J29" s="70">
        <f t="shared" si="1"/>
        <v>8.5</v>
      </c>
      <c r="K29" s="69"/>
      <c r="L29" s="70">
        <f t="shared" si="1"/>
        <v>8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38.25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31"/>
  <dimension ref="A1:V34"/>
  <sheetViews>
    <sheetView showZeros="0" zoomScale="115" workbookViewId="0">
      <selection activeCell="B11" sqref="B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('23'!E4:G4)-7</f>
        <v>43982</v>
      </c>
      <c r="F4" s="142"/>
      <c r="G4" s="142"/>
      <c r="H4" s="67" t="s">
        <v>4</v>
      </c>
      <c r="I4" s="136">
        <f>E4+6</f>
        <v>43988</v>
      </c>
      <c r="J4" s="137"/>
      <c r="K4" s="137"/>
      <c r="L4" s="76"/>
      <c r="M4" s="19"/>
      <c r="N4" s="78">
        <v>22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91"/>
      <c r="B7" s="92" t="s">
        <v>89</v>
      </c>
      <c r="C7" s="93"/>
      <c r="D7" s="40"/>
      <c r="E7" s="54"/>
      <c r="F7" s="40">
        <v>8</v>
      </c>
      <c r="G7" s="61"/>
      <c r="H7" s="59">
        <v>8.5</v>
      </c>
      <c r="I7" s="54"/>
      <c r="J7" s="40">
        <v>8.5</v>
      </c>
      <c r="K7" s="54"/>
      <c r="L7" s="59">
        <v>8.5</v>
      </c>
      <c r="M7" s="54"/>
      <c r="N7" s="40"/>
      <c r="O7" s="54"/>
      <c r="P7" s="40">
        <v>6.5</v>
      </c>
      <c r="Q7" s="46">
        <f>SUM(P7,N7,L7,J7,H7,F7,D7)</f>
        <v>40</v>
      </c>
      <c r="S7" s="1"/>
    </row>
    <row r="8" spans="1:22" ht="17.25" customHeight="1" x14ac:dyDescent="0.2">
      <c r="A8" s="110"/>
      <c r="B8" s="95" t="s">
        <v>88</v>
      </c>
      <c r="C8" s="96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97"/>
      <c r="B9" s="98" t="s">
        <v>88</v>
      </c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97"/>
      <c r="B19" s="101"/>
      <c r="C19" s="9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100"/>
      <c r="B20" s="102"/>
      <c r="C20" s="96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97"/>
      <c r="B21" s="101"/>
      <c r="C21" s="9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100"/>
      <c r="B22" s="102"/>
      <c r="C22" s="96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97"/>
      <c r="B23" s="103"/>
      <c r="C23" s="9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100"/>
      <c r="B24" s="102"/>
      <c r="C24" s="96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97"/>
      <c r="B25" s="98"/>
      <c r="C25" s="9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100"/>
      <c r="B26" s="102"/>
      <c r="C26" s="96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97"/>
      <c r="B27" s="98"/>
      <c r="C27" s="9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8.5</v>
      </c>
      <c r="I29" s="69"/>
      <c r="J29" s="70">
        <f t="shared" si="1"/>
        <v>8.5</v>
      </c>
      <c r="K29" s="69"/>
      <c r="L29" s="70">
        <f t="shared" si="1"/>
        <v>8.5</v>
      </c>
      <c r="M29" s="69"/>
      <c r="N29" s="70">
        <f t="shared" si="1"/>
        <v>0</v>
      </c>
      <c r="O29" s="69"/>
      <c r="P29" s="70">
        <f t="shared" si="1"/>
        <v>6.5</v>
      </c>
      <c r="Q29" s="73">
        <f t="shared" si="1"/>
        <v>40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32"/>
  <dimension ref="A1:V34"/>
  <sheetViews>
    <sheetView showZeros="0" zoomScale="115" workbookViewId="0">
      <selection activeCell="H8" sqref="H8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('22'!E4:G4)-7</f>
        <v>43975</v>
      </c>
      <c r="F4" s="142"/>
      <c r="G4" s="142"/>
      <c r="H4" s="67" t="s">
        <v>4</v>
      </c>
      <c r="I4" s="136">
        <f>E4+6</f>
        <v>43981</v>
      </c>
      <c r="J4" s="137"/>
      <c r="K4" s="137"/>
      <c r="L4" s="76"/>
      <c r="M4" s="19"/>
      <c r="N4" s="78">
        <v>21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86</v>
      </c>
      <c r="C7" s="47"/>
      <c r="D7" s="40"/>
      <c r="E7" s="54"/>
      <c r="F7" s="40">
        <v>8.5</v>
      </c>
      <c r="G7" s="54"/>
      <c r="H7" s="40">
        <v>8</v>
      </c>
      <c r="I7" s="54" t="s">
        <v>87</v>
      </c>
      <c r="J7" s="40">
        <v>0</v>
      </c>
      <c r="K7" s="54"/>
      <c r="L7" s="59">
        <v>0</v>
      </c>
      <c r="M7" s="54"/>
      <c r="N7" s="40">
        <v>0</v>
      </c>
      <c r="O7" s="54"/>
      <c r="P7" s="40"/>
      <c r="Q7" s="46">
        <f>SUM(P7,N7,L7,J7,H7,F7,D7)</f>
        <v>16.5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55"/>
      <c r="H8" s="20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56"/>
      <c r="H9" s="41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57"/>
      <c r="H10" s="31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56"/>
      <c r="H11" s="41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57"/>
      <c r="H12" s="31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56"/>
      <c r="H13" s="41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57"/>
      <c r="H14" s="31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56"/>
      <c r="H15" s="41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57"/>
      <c r="H16" s="31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56"/>
      <c r="H17" s="41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57"/>
      <c r="H18" s="31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56"/>
      <c r="H19" s="41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57"/>
      <c r="H20" s="31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56"/>
      <c r="H21" s="41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57"/>
      <c r="H22" s="31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56"/>
      <c r="H23" s="41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57"/>
      <c r="H24" s="31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56"/>
      <c r="H25" s="41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8.5</v>
      </c>
      <c r="G29" s="68"/>
      <c r="H29" s="71">
        <f t="shared" si="1"/>
        <v>8</v>
      </c>
      <c r="I29" s="69"/>
      <c r="J29" s="70">
        <f t="shared" si="1"/>
        <v>0</v>
      </c>
      <c r="K29" s="69"/>
      <c r="L29" s="70">
        <f t="shared" si="1"/>
        <v>0</v>
      </c>
      <c r="M29" s="69"/>
      <c r="N29" s="70">
        <f t="shared" si="1"/>
        <v>0</v>
      </c>
      <c r="O29" s="69"/>
      <c r="P29" s="70">
        <f t="shared" si="1"/>
        <v>0</v>
      </c>
      <c r="Q29" s="73">
        <f t="shared" si="1"/>
        <v>16.5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33"/>
  <dimension ref="A1:V58"/>
  <sheetViews>
    <sheetView showZeros="0" zoomScale="115" workbookViewId="0">
      <selection activeCell="A4" sqref="A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('21'!E4:G4)-7</f>
        <v>43968</v>
      </c>
      <c r="F4" s="142"/>
      <c r="G4" s="142"/>
      <c r="H4" s="67" t="s">
        <v>4</v>
      </c>
      <c r="I4" s="136">
        <f>E4+6</f>
        <v>43974</v>
      </c>
      <c r="J4" s="137"/>
      <c r="K4" s="137"/>
      <c r="L4" s="76"/>
      <c r="M4" s="19"/>
      <c r="N4" s="78">
        <v>20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85</v>
      </c>
      <c r="C7" s="47"/>
      <c r="D7" s="40"/>
      <c r="E7" s="54"/>
      <c r="F7" s="40" t="s">
        <v>80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105">
        <f t="shared" ref="Q7:Q28" si="0">SUM(P7,N7,L7,J7,H7,F7,D7)</f>
        <v>0</v>
      </c>
      <c r="S7" s="1"/>
    </row>
    <row r="8" spans="1:22" ht="17.25" customHeight="1" x14ac:dyDescent="0.2">
      <c r="A8" s="24"/>
      <c r="B8" s="82" t="s">
        <v>45</v>
      </c>
      <c r="C8" s="48"/>
      <c r="D8" s="20"/>
      <c r="E8" s="55"/>
      <c r="F8" s="20">
        <v>2.5</v>
      </c>
      <c r="G8" s="62"/>
      <c r="H8" s="36">
        <v>9</v>
      </c>
      <c r="I8" s="55"/>
      <c r="J8" s="20">
        <v>9</v>
      </c>
      <c r="K8" s="55"/>
      <c r="L8" s="36">
        <v>10.5</v>
      </c>
      <c r="M8" s="55"/>
      <c r="N8" s="20">
        <v>4.5</v>
      </c>
      <c r="O8" s="55"/>
      <c r="P8" s="20"/>
      <c r="Q8" s="105">
        <f t="shared" si="0"/>
        <v>35.5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105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105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105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105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105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105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105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105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105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105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105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105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105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105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105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105">
        <f t="shared" si="0"/>
        <v>0</v>
      </c>
      <c r="S24" s="1"/>
    </row>
    <row r="25" spans="1:19" ht="17.25" customHeight="1" x14ac:dyDescent="0.2">
      <c r="A25" s="28"/>
      <c r="B25" s="80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105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105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105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114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2.5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10.5</v>
      </c>
      <c r="M29" s="69"/>
      <c r="N29" s="70">
        <f t="shared" si="1"/>
        <v>4.5</v>
      </c>
      <c r="O29" s="69"/>
      <c r="P29" s="70">
        <f t="shared" si="1"/>
        <v>0</v>
      </c>
      <c r="Q29" s="73">
        <f t="shared" si="1"/>
        <v>35.5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  <row r="58" spans="8:8" x14ac:dyDescent="0.2">
      <c r="H58" s="3">
        <v>10000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34"/>
  <dimension ref="A1:V34"/>
  <sheetViews>
    <sheetView showZeros="0" zoomScale="115" workbookViewId="0">
      <selection activeCell="N10" sqref="N1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('20'!E4:G4)-7</f>
        <v>43961</v>
      </c>
      <c r="F4" s="142"/>
      <c r="G4" s="142"/>
      <c r="H4" s="67" t="s">
        <v>4</v>
      </c>
      <c r="I4" s="136">
        <f>E4+6</f>
        <v>43967</v>
      </c>
      <c r="J4" s="137"/>
      <c r="K4" s="137"/>
      <c r="L4" s="76"/>
      <c r="M4" s="19"/>
      <c r="N4" s="78">
        <v>19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45</v>
      </c>
      <c r="C7" s="47"/>
      <c r="D7" s="40"/>
      <c r="E7" s="54"/>
      <c r="F7" s="40">
        <v>9</v>
      </c>
      <c r="G7" s="61"/>
      <c r="H7" s="59">
        <v>9.5</v>
      </c>
      <c r="I7" s="54"/>
      <c r="J7" s="40">
        <v>9</v>
      </c>
      <c r="K7" s="54"/>
      <c r="L7" s="59">
        <v>9</v>
      </c>
      <c r="M7" s="54"/>
      <c r="N7" s="40">
        <v>4</v>
      </c>
      <c r="O7" s="54"/>
      <c r="P7" s="40"/>
      <c r="Q7" s="105">
        <f>SUM(P7,N7,L7,J7,H7,F7,D7)</f>
        <v>40.5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105">
        <f>SUM(P8,N8,L8,J8,H8,F8,D8)</f>
        <v>0</v>
      </c>
      <c r="S8" s="1"/>
    </row>
    <row r="9" spans="1:22" ht="17.25" customHeight="1" x14ac:dyDescent="0.2">
      <c r="A9" s="28" t="s">
        <v>82</v>
      </c>
      <c r="B9" s="32" t="s">
        <v>83</v>
      </c>
      <c r="C9" s="49"/>
      <c r="D9" s="41"/>
      <c r="E9" s="56"/>
      <c r="F9" s="41"/>
      <c r="G9" s="63"/>
      <c r="H9" s="60"/>
      <c r="I9" s="56"/>
      <c r="J9" s="41">
        <v>1.5</v>
      </c>
      <c r="K9" s="56"/>
      <c r="L9" s="60">
        <v>1.5</v>
      </c>
      <c r="M9" s="56"/>
      <c r="N9" s="41"/>
      <c r="O9" s="56"/>
      <c r="P9" s="41"/>
      <c r="Q9" s="105">
        <f>SUM(P9,N9,L9,J9,H9,F9,D9)</f>
        <v>3</v>
      </c>
      <c r="S9" s="1"/>
    </row>
    <row r="10" spans="1:22" ht="17.25" customHeight="1" x14ac:dyDescent="0.2">
      <c r="A10" s="29"/>
      <c r="B10" s="32" t="s">
        <v>84</v>
      </c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105">
        <f t="shared" ref="Q10:Q28" si="0">SUM(P10,N10,L10,J10,H10,F10,D10)</f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105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105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105">
        <f>SUM(P13,N13,L13,J13,H13,F13,D13)</f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105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105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105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105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105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105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105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105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105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105">
        <f>SUM(P23,N23,L23,J23,H23,F23,D23)</f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105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105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105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115">
        <f>D27+F27+H27+J27+L27+N27+P27</f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114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P29" si="1">SUM(D7:D28)</f>
        <v>0</v>
      </c>
      <c r="E29" s="69"/>
      <c r="F29" s="70">
        <f t="shared" si="1"/>
        <v>9</v>
      </c>
      <c r="G29" s="68"/>
      <c r="H29" s="71">
        <f t="shared" si="1"/>
        <v>9.5</v>
      </c>
      <c r="I29" s="69"/>
      <c r="J29" s="70">
        <f t="shared" si="1"/>
        <v>10.5</v>
      </c>
      <c r="K29" s="69"/>
      <c r="L29" s="70">
        <f t="shared" si="1"/>
        <v>10.5</v>
      </c>
      <c r="M29" s="69"/>
      <c r="N29" s="70">
        <f t="shared" si="1"/>
        <v>4</v>
      </c>
      <c r="O29" s="69"/>
      <c r="P29" s="70">
        <f t="shared" si="1"/>
        <v>0</v>
      </c>
      <c r="Q29" s="73">
        <f>SUM(Q7:Q28)</f>
        <v>43.5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35"/>
  <dimension ref="A1:V34"/>
  <sheetViews>
    <sheetView showZeros="0" topLeftCell="A4" zoomScale="115" workbookViewId="0">
      <selection activeCell="N7" sqref="N7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('19'!E4:G4)-7</f>
        <v>43954</v>
      </c>
      <c r="F4" s="142"/>
      <c r="G4" s="142"/>
      <c r="H4" s="67" t="s">
        <v>4</v>
      </c>
      <c r="I4" s="136">
        <f>E4+6</f>
        <v>43960</v>
      </c>
      <c r="J4" s="137"/>
      <c r="K4" s="137"/>
      <c r="L4" s="76"/>
      <c r="M4" s="19"/>
      <c r="N4" s="78">
        <v>18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45</v>
      </c>
      <c r="C7" s="47"/>
      <c r="D7" s="40"/>
      <c r="E7" s="54"/>
      <c r="F7" s="40">
        <v>11</v>
      </c>
      <c r="G7" s="61"/>
      <c r="H7" s="59">
        <v>10</v>
      </c>
      <c r="I7" s="54"/>
      <c r="J7" s="40">
        <v>11</v>
      </c>
      <c r="K7" s="54"/>
      <c r="L7" s="59">
        <v>11</v>
      </c>
      <c r="M7" s="54"/>
      <c r="N7" s="40">
        <v>7</v>
      </c>
      <c r="O7" s="54"/>
      <c r="P7" s="40"/>
      <c r="Q7" s="46">
        <f>SUM(P7,N7,L7,J7,H7,F7,D7)</f>
        <v>50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11</v>
      </c>
      <c r="G29" s="68"/>
      <c r="H29" s="71">
        <f t="shared" si="1"/>
        <v>10</v>
      </c>
      <c r="I29" s="69"/>
      <c r="J29" s="70">
        <f t="shared" si="1"/>
        <v>11</v>
      </c>
      <c r="K29" s="69"/>
      <c r="L29" s="70">
        <f t="shared" si="1"/>
        <v>11</v>
      </c>
      <c r="M29" s="69"/>
      <c r="N29" s="70">
        <f t="shared" si="1"/>
        <v>7</v>
      </c>
      <c r="O29" s="69"/>
      <c r="P29" s="70">
        <f t="shared" si="1"/>
        <v>0</v>
      </c>
      <c r="Q29" s="73">
        <f t="shared" si="1"/>
        <v>50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36"/>
  <dimension ref="A1:V34"/>
  <sheetViews>
    <sheetView showZeros="0" zoomScale="115" workbookViewId="0">
      <selection activeCell="B9" sqref="B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('18'!E4:G4)-7</f>
        <v>43947</v>
      </c>
      <c r="F4" s="142"/>
      <c r="G4" s="142"/>
      <c r="H4" s="67" t="s">
        <v>4</v>
      </c>
      <c r="I4" s="136">
        <f>E4+6</f>
        <v>43953</v>
      </c>
      <c r="J4" s="137"/>
      <c r="K4" s="137"/>
      <c r="L4" s="76"/>
      <c r="M4" s="19"/>
      <c r="N4" s="78">
        <v>17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23"/>
      <c r="B7" s="81" t="s">
        <v>45</v>
      </c>
      <c r="C7" s="47"/>
      <c r="D7" s="40"/>
      <c r="E7" s="54"/>
      <c r="F7" s="40">
        <v>6</v>
      </c>
      <c r="G7" s="61"/>
      <c r="H7" s="59">
        <v>9.5</v>
      </c>
      <c r="I7" s="54"/>
      <c r="J7" s="40">
        <v>6.5</v>
      </c>
      <c r="K7" s="54"/>
      <c r="L7" s="59">
        <v>8</v>
      </c>
      <c r="M7" s="54"/>
      <c r="N7" s="40">
        <v>6.5</v>
      </c>
      <c r="O7" s="54"/>
      <c r="P7" s="40"/>
      <c r="Q7" s="46">
        <f>SUM(P7,N7,L7,J7,H7,F7,D7)</f>
        <v>36.5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6</v>
      </c>
      <c r="G29" s="68"/>
      <c r="H29" s="71">
        <f t="shared" si="1"/>
        <v>9.5</v>
      </c>
      <c r="I29" s="69"/>
      <c r="J29" s="70">
        <f t="shared" si="1"/>
        <v>6.5</v>
      </c>
      <c r="K29" s="69"/>
      <c r="L29" s="70">
        <f t="shared" si="1"/>
        <v>8</v>
      </c>
      <c r="M29" s="69"/>
      <c r="N29" s="70">
        <f t="shared" si="1"/>
        <v>6.5</v>
      </c>
      <c r="O29" s="69"/>
      <c r="P29" s="70">
        <f t="shared" si="1"/>
        <v>0</v>
      </c>
      <c r="Q29" s="73">
        <f t="shared" si="1"/>
        <v>36.5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37"/>
  <dimension ref="A1:V34"/>
  <sheetViews>
    <sheetView showZeros="0" zoomScale="115" workbookViewId="0">
      <selection activeCell="F11" sqref="F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('17'!E4:G4)-7</f>
        <v>43940</v>
      </c>
      <c r="F4" s="142"/>
      <c r="G4" s="142"/>
      <c r="H4" s="67" t="s">
        <v>4</v>
      </c>
      <c r="I4" s="136">
        <f>E4+6</f>
        <v>43946</v>
      </c>
      <c r="J4" s="137"/>
      <c r="K4" s="137"/>
      <c r="L4" s="76"/>
      <c r="M4" s="19"/>
      <c r="N4" s="78">
        <v>16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7.5</v>
      </c>
      <c r="G7" s="61"/>
      <c r="H7" s="59">
        <v>10</v>
      </c>
      <c r="I7" s="54"/>
      <c r="J7" s="40">
        <v>6</v>
      </c>
      <c r="K7" s="54"/>
      <c r="L7" s="59">
        <v>6.5</v>
      </c>
      <c r="M7" s="54"/>
      <c r="N7" s="40">
        <v>1.5</v>
      </c>
      <c r="O7" s="54"/>
      <c r="P7" s="40"/>
      <c r="Q7" s="46">
        <f>SUM(P7,N7,L7,J7,H7,F7,D7)</f>
        <v>31.5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/>
      <c r="B9" s="32"/>
      <c r="C9" s="4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7.5</v>
      </c>
      <c r="G29" s="68"/>
      <c r="H29" s="71">
        <f t="shared" si="1"/>
        <v>10</v>
      </c>
      <c r="I29" s="69"/>
      <c r="J29" s="70">
        <f t="shared" si="1"/>
        <v>6</v>
      </c>
      <c r="K29" s="69"/>
      <c r="L29" s="70">
        <f t="shared" si="1"/>
        <v>6.5</v>
      </c>
      <c r="M29" s="69"/>
      <c r="N29" s="70">
        <f t="shared" si="1"/>
        <v>1.5</v>
      </c>
      <c r="O29" s="69"/>
      <c r="P29" s="70">
        <f t="shared" si="1"/>
        <v>0</v>
      </c>
      <c r="Q29" s="73">
        <f t="shared" si="1"/>
        <v>31.5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38"/>
  <dimension ref="A1:V34"/>
  <sheetViews>
    <sheetView showZeros="0" zoomScale="110" zoomScaleNormal="110" workbookViewId="0">
      <selection activeCell="N9" sqref="N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('16'!E4:G4)-7</f>
        <v>43933</v>
      </c>
      <c r="F4" s="142"/>
      <c r="G4" s="142"/>
      <c r="H4" s="67" t="s">
        <v>4</v>
      </c>
      <c r="I4" s="136">
        <f>E4+6</f>
        <v>43939</v>
      </c>
      <c r="J4" s="137"/>
      <c r="K4" s="137"/>
      <c r="L4" s="76"/>
      <c r="M4" s="19"/>
      <c r="N4" s="78">
        <v>15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96</v>
      </c>
      <c r="B7" s="81" t="s">
        <v>81</v>
      </c>
      <c r="C7" s="47"/>
      <c r="D7" s="40"/>
      <c r="E7" s="54" t="s">
        <v>36</v>
      </c>
      <c r="F7" s="40">
        <v>9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9</v>
      </c>
      <c r="S7" s="1"/>
    </row>
    <row r="8" spans="1:22" ht="17.25" customHeight="1" x14ac:dyDescent="0.2">
      <c r="A8" s="84"/>
      <c r="B8" s="82"/>
      <c r="C8" s="48"/>
      <c r="D8" s="20"/>
      <c r="E8" s="55" t="s">
        <v>37</v>
      </c>
      <c r="F8" s="20">
        <v>0</v>
      </c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97</v>
      </c>
      <c r="B9" s="32"/>
      <c r="C9" s="49"/>
      <c r="D9" s="41"/>
      <c r="E9" s="56" t="s">
        <v>37</v>
      </c>
      <c r="F9" s="41">
        <v>18</v>
      </c>
      <c r="G9" s="63"/>
      <c r="H9" s="60">
        <v>4.5</v>
      </c>
      <c r="I9" s="56"/>
      <c r="J9" s="41">
        <v>5</v>
      </c>
      <c r="K9" s="56"/>
      <c r="L9" s="60">
        <v>7.5</v>
      </c>
      <c r="M9" s="56"/>
      <c r="N9" s="41">
        <v>5.5</v>
      </c>
      <c r="O9" s="56"/>
      <c r="P9" s="41"/>
      <c r="Q9" s="46">
        <f t="shared" si="0"/>
        <v>40.5</v>
      </c>
      <c r="S9" s="1"/>
    </row>
    <row r="10" spans="1:22" ht="17.25" customHeight="1" x14ac:dyDescent="0.2">
      <c r="A10" s="29"/>
      <c r="B10" s="32"/>
      <c r="C10" s="48"/>
      <c r="D10" s="31"/>
      <c r="E10" s="57" t="s">
        <v>37</v>
      </c>
      <c r="F10" s="31">
        <v>0</v>
      </c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98</v>
      </c>
      <c r="B11" s="79"/>
      <c r="C11" s="49"/>
      <c r="D11" s="41"/>
      <c r="E11" s="56" t="s">
        <v>37</v>
      </c>
      <c r="F11" s="41">
        <v>3</v>
      </c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3</v>
      </c>
      <c r="S11" s="1"/>
    </row>
    <row r="12" spans="1:22" ht="17.25" customHeight="1" x14ac:dyDescent="0.2">
      <c r="A12" s="29"/>
      <c r="B12" s="30"/>
      <c r="C12" s="48"/>
      <c r="D12" s="31"/>
      <c r="E12" s="57" t="s">
        <v>36</v>
      </c>
      <c r="F12" s="31">
        <v>0</v>
      </c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99</v>
      </c>
      <c r="B13" s="32"/>
      <c r="C13" s="49"/>
      <c r="D13" s="41"/>
      <c r="E13" s="56" t="s">
        <v>36</v>
      </c>
      <c r="F13" s="41">
        <v>2</v>
      </c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2</v>
      </c>
      <c r="S13" s="1"/>
    </row>
    <row r="14" spans="1:22" ht="17.25" customHeight="1" x14ac:dyDescent="0.2">
      <c r="A14" s="29"/>
      <c r="B14" s="30"/>
      <c r="C14" s="48"/>
      <c r="D14" s="31"/>
      <c r="E14" s="57" t="s">
        <v>37</v>
      </c>
      <c r="F14" s="31">
        <v>0</v>
      </c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100</v>
      </c>
      <c r="B15" s="79"/>
      <c r="C15" s="49"/>
      <c r="D15" s="41"/>
      <c r="E15" s="56" t="s">
        <v>37</v>
      </c>
      <c r="F15" s="41">
        <v>13</v>
      </c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13</v>
      </c>
      <c r="S15" s="1"/>
    </row>
    <row r="16" spans="1:22" ht="17.25" customHeight="1" x14ac:dyDescent="0.2">
      <c r="A16" s="29"/>
      <c r="B16" s="30"/>
      <c r="C16" s="48"/>
      <c r="D16" s="31"/>
      <c r="E16" s="57" t="s">
        <v>101</v>
      </c>
      <c r="F16" s="31">
        <v>0</v>
      </c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 t="s">
        <v>94</v>
      </c>
      <c r="C27" s="49"/>
      <c r="D27" s="41"/>
      <c r="E27" s="56"/>
      <c r="F27" s="41">
        <v>9</v>
      </c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9</v>
      </c>
      <c r="S27" s="1"/>
    </row>
    <row r="28" spans="1:19" ht="17.25" customHeight="1" thickBot="1" x14ac:dyDescent="0.25">
      <c r="A28" s="83"/>
      <c r="B28" s="30" t="s">
        <v>95</v>
      </c>
      <c r="C28" s="50"/>
      <c r="D28" s="21"/>
      <c r="E28" s="58"/>
      <c r="F28" s="53">
        <v>2</v>
      </c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2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56</v>
      </c>
      <c r="G29" s="68"/>
      <c r="H29" s="71">
        <f t="shared" si="1"/>
        <v>4.5</v>
      </c>
      <c r="I29" s="69"/>
      <c r="J29" s="70">
        <f t="shared" si="1"/>
        <v>5</v>
      </c>
      <c r="K29" s="69"/>
      <c r="L29" s="70">
        <f t="shared" si="1"/>
        <v>7.5</v>
      </c>
      <c r="M29" s="69"/>
      <c r="N29" s="70">
        <f t="shared" si="1"/>
        <v>5.5</v>
      </c>
      <c r="O29" s="69"/>
      <c r="P29" s="70">
        <f t="shared" si="1"/>
        <v>0</v>
      </c>
      <c r="Q29" s="73">
        <f t="shared" si="1"/>
        <v>78.5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39"/>
  <dimension ref="A1:V34"/>
  <sheetViews>
    <sheetView showZeros="0" zoomScale="110" zoomScaleNormal="110" workbookViewId="0">
      <selection activeCell="N14" sqref="N1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('15'!E4:G4)-7</f>
        <v>43926</v>
      </c>
      <c r="F4" s="142"/>
      <c r="G4" s="142"/>
      <c r="H4" s="67" t="s">
        <v>4</v>
      </c>
      <c r="I4" s="136">
        <f>E4+6</f>
        <v>43932</v>
      </c>
      <c r="J4" s="137"/>
      <c r="K4" s="137"/>
      <c r="L4" s="76"/>
      <c r="M4" s="19"/>
      <c r="N4" s="78">
        <v>14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76</v>
      </c>
      <c r="C7" s="47"/>
      <c r="D7" s="40"/>
      <c r="E7" s="54" t="s">
        <v>37</v>
      </c>
      <c r="F7" s="40">
        <v>1.5</v>
      </c>
      <c r="G7" s="61"/>
      <c r="H7" s="59"/>
      <c r="I7" s="54"/>
      <c r="J7" s="40"/>
      <c r="K7" s="54" t="s">
        <v>37</v>
      </c>
      <c r="L7" s="59">
        <v>1</v>
      </c>
      <c r="M7" s="54"/>
      <c r="N7" s="40"/>
      <c r="O7" s="54"/>
      <c r="P7" s="40"/>
      <c r="Q7" s="46">
        <f>SUM(P7,N7,L7,J7,H7,F7,D7)</f>
        <v>2.5</v>
      </c>
      <c r="S7" s="1"/>
    </row>
    <row r="8" spans="1:22" ht="17.25" customHeight="1" x14ac:dyDescent="0.2">
      <c r="A8" s="84" t="s">
        <v>41</v>
      </c>
      <c r="B8" s="82"/>
      <c r="C8" s="48"/>
      <c r="D8" s="20"/>
      <c r="E8" s="55" t="s">
        <v>36</v>
      </c>
      <c r="F8" s="20">
        <v>1</v>
      </c>
      <c r="G8" s="62"/>
      <c r="H8" s="36"/>
      <c r="I8" s="55"/>
      <c r="J8" s="20">
        <v>1.5</v>
      </c>
      <c r="K8" s="55" t="s">
        <v>36</v>
      </c>
      <c r="L8" s="36">
        <v>2</v>
      </c>
      <c r="M8" s="55"/>
      <c r="N8" s="20"/>
      <c r="O8" s="55"/>
      <c r="P8" s="20"/>
      <c r="Q8" s="46">
        <f t="shared" ref="Q8:Q28" si="0">SUM(P8,N8,L8,J8,H8,F8,D8)</f>
        <v>4.5</v>
      </c>
      <c r="S8" s="1"/>
    </row>
    <row r="9" spans="1:22" ht="17.25" customHeight="1" x14ac:dyDescent="0.2">
      <c r="A9" s="28" t="s">
        <v>45</v>
      </c>
      <c r="B9" s="32"/>
      <c r="C9" s="49"/>
      <c r="D9" s="41"/>
      <c r="E9" s="56"/>
      <c r="F9" s="41">
        <v>7.5</v>
      </c>
      <c r="G9" s="63"/>
      <c r="H9" s="60">
        <v>8.5</v>
      </c>
      <c r="I9" s="56"/>
      <c r="J9" s="41">
        <v>6</v>
      </c>
      <c r="K9" s="56"/>
      <c r="L9" s="60">
        <v>3</v>
      </c>
      <c r="M9" s="56"/>
      <c r="N9" s="41">
        <v>2</v>
      </c>
      <c r="O9" s="56"/>
      <c r="P9" s="41"/>
      <c r="Q9" s="46">
        <f t="shared" si="0"/>
        <v>27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10</v>
      </c>
      <c r="G29" s="68"/>
      <c r="H29" s="71">
        <f t="shared" si="1"/>
        <v>8.5</v>
      </c>
      <c r="I29" s="69"/>
      <c r="J29" s="70">
        <f t="shared" si="1"/>
        <v>7.5</v>
      </c>
      <c r="K29" s="69"/>
      <c r="L29" s="70">
        <f t="shared" si="1"/>
        <v>6</v>
      </c>
      <c r="M29" s="69"/>
      <c r="N29" s="70">
        <f t="shared" si="1"/>
        <v>2</v>
      </c>
      <c r="O29" s="69"/>
      <c r="P29" s="70">
        <f t="shared" si="1"/>
        <v>0</v>
      </c>
      <c r="Q29" s="73">
        <f t="shared" si="1"/>
        <v>34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40"/>
  <dimension ref="A1:V34"/>
  <sheetViews>
    <sheetView showZeros="0" zoomScale="110" zoomScaleNormal="110" workbookViewId="0">
      <selection activeCell="H11" sqref="H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('14'!E4:G4)-7</f>
        <v>43919</v>
      </c>
      <c r="F4" s="142"/>
      <c r="G4" s="142"/>
      <c r="H4" s="67" t="s">
        <v>4</v>
      </c>
      <c r="I4" s="136">
        <f>E4+6</f>
        <v>43925</v>
      </c>
      <c r="J4" s="137"/>
      <c r="K4" s="137"/>
      <c r="L4" s="76"/>
      <c r="M4" s="19"/>
      <c r="N4" s="78">
        <v>13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10.5</v>
      </c>
      <c r="G7" s="61"/>
      <c r="H7" s="59">
        <v>8.5</v>
      </c>
      <c r="I7" s="54"/>
      <c r="J7" s="40">
        <v>5.5</v>
      </c>
      <c r="K7" s="54"/>
      <c r="L7" s="59">
        <v>4.5</v>
      </c>
      <c r="M7" s="54"/>
      <c r="N7" s="40">
        <v>6</v>
      </c>
      <c r="O7" s="54"/>
      <c r="P7" s="40"/>
      <c r="Q7" s="46">
        <f>SUM(P7,N7,L7,J7,H7,F7,D7)</f>
        <v>35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79</v>
      </c>
      <c r="C9" s="49"/>
      <c r="D9" s="41"/>
      <c r="E9" s="56"/>
      <c r="F9" s="41"/>
      <c r="G9" s="63"/>
      <c r="H9" s="60"/>
      <c r="I9" s="56" t="s">
        <v>37</v>
      </c>
      <c r="J9" s="41">
        <v>3</v>
      </c>
      <c r="K9" s="56" t="s">
        <v>36</v>
      </c>
      <c r="L9" s="60">
        <v>2.5</v>
      </c>
      <c r="M9" s="56"/>
      <c r="N9" s="41"/>
      <c r="O9" s="56"/>
      <c r="P9" s="41"/>
      <c r="Q9" s="46">
        <f t="shared" si="0"/>
        <v>5.5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10.5</v>
      </c>
      <c r="G29" s="68"/>
      <c r="H29" s="71">
        <f t="shared" si="1"/>
        <v>8.5</v>
      </c>
      <c r="I29" s="69"/>
      <c r="J29" s="70">
        <f t="shared" si="1"/>
        <v>8.5</v>
      </c>
      <c r="K29" s="69"/>
      <c r="L29" s="70">
        <f t="shared" si="1"/>
        <v>7</v>
      </c>
      <c r="M29" s="69"/>
      <c r="N29" s="70">
        <f t="shared" si="1"/>
        <v>6</v>
      </c>
      <c r="O29" s="69"/>
      <c r="P29" s="70">
        <f t="shared" si="1"/>
        <v>0</v>
      </c>
      <c r="Q29" s="73">
        <f t="shared" si="1"/>
        <v>40.5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41"/>
  <dimension ref="A1:V34"/>
  <sheetViews>
    <sheetView showZeros="0" zoomScale="110" zoomScaleNormal="110" workbookViewId="0">
      <selection activeCell="J12" sqref="J12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('13'!E4:G4)-7</f>
        <v>43912</v>
      </c>
      <c r="F4" s="142"/>
      <c r="G4" s="142"/>
      <c r="H4" s="67" t="s">
        <v>4</v>
      </c>
      <c r="I4" s="136">
        <f>E4+6</f>
        <v>43918</v>
      </c>
      <c r="J4" s="137"/>
      <c r="K4" s="137"/>
      <c r="L4" s="76"/>
      <c r="M4" s="19"/>
      <c r="N4" s="78">
        <v>12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5</v>
      </c>
      <c r="G7" s="61"/>
      <c r="H7" s="59">
        <v>6</v>
      </c>
      <c r="I7" s="54"/>
      <c r="J7" s="40">
        <v>4.5</v>
      </c>
      <c r="K7" s="54"/>
      <c r="L7" s="59">
        <v>11</v>
      </c>
      <c r="M7" s="54"/>
      <c r="N7" s="40">
        <v>6.25</v>
      </c>
      <c r="O7" s="54"/>
      <c r="P7" s="40"/>
      <c r="Q7" s="46">
        <f>SUM(P7,N7,L7,J7,H7,F7,D7)</f>
        <v>32.75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76</v>
      </c>
      <c r="C9" s="49"/>
      <c r="D9" s="41"/>
      <c r="E9" s="56" t="s">
        <v>36</v>
      </c>
      <c r="F9" s="41">
        <v>2</v>
      </c>
      <c r="G9" s="63" t="s">
        <v>36</v>
      </c>
      <c r="H9" s="60">
        <v>2</v>
      </c>
      <c r="I9" s="56" t="s">
        <v>36</v>
      </c>
      <c r="J9" s="41">
        <v>1</v>
      </c>
      <c r="K9" s="56"/>
      <c r="L9" s="60"/>
      <c r="M9" s="56"/>
      <c r="N9" s="41"/>
      <c r="O9" s="56"/>
      <c r="P9" s="41"/>
      <c r="Q9" s="46">
        <f t="shared" si="0"/>
        <v>5</v>
      </c>
      <c r="S9" s="1"/>
    </row>
    <row r="10" spans="1:22" ht="17.25" customHeight="1" x14ac:dyDescent="0.2">
      <c r="A10" s="29"/>
      <c r="B10" s="32"/>
      <c r="C10" s="48"/>
      <c r="D10" s="31"/>
      <c r="E10" s="57" t="s">
        <v>37</v>
      </c>
      <c r="F10" s="31">
        <v>2</v>
      </c>
      <c r="G10" s="64" t="s">
        <v>37</v>
      </c>
      <c r="H10" s="37">
        <v>2</v>
      </c>
      <c r="I10" s="57" t="s">
        <v>37</v>
      </c>
      <c r="J10" s="31">
        <v>2.5</v>
      </c>
      <c r="K10" s="57"/>
      <c r="L10" s="37"/>
      <c r="M10" s="57"/>
      <c r="N10" s="31"/>
      <c r="O10" s="57"/>
      <c r="P10" s="31"/>
      <c r="Q10" s="46">
        <f t="shared" si="0"/>
        <v>6.5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10</v>
      </c>
      <c r="I29" s="69"/>
      <c r="J29" s="70">
        <f t="shared" si="1"/>
        <v>8</v>
      </c>
      <c r="K29" s="69"/>
      <c r="L29" s="70">
        <f t="shared" si="1"/>
        <v>11</v>
      </c>
      <c r="M29" s="69"/>
      <c r="N29" s="70">
        <f t="shared" si="1"/>
        <v>6.25</v>
      </c>
      <c r="O29" s="69"/>
      <c r="P29" s="70">
        <f t="shared" si="1"/>
        <v>0</v>
      </c>
      <c r="Q29" s="73">
        <f t="shared" si="1"/>
        <v>44.25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42"/>
  <dimension ref="A1:V34"/>
  <sheetViews>
    <sheetView showZeros="0" zoomScaleNormal="100" workbookViewId="0">
      <selection activeCell="L14" sqref="L1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('12'!E4:G4)-7</f>
        <v>43905</v>
      </c>
      <c r="F4" s="142"/>
      <c r="G4" s="142"/>
      <c r="H4" s="67" t="s">
        <v>4</v>
      </c>
      <c r="I4" s="136">
        <f>E4+6</f>
        <v>43911</v>
      </c>
      <c r="J4" s="137"/>
      <c r="K4" s="137"/>
      <c r="L4" s="76"/>
      <c r="M4" s="19"/>
      <c r="N4" s="78">
        <v>11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>
        <v>2.5</v>
      </c>
      <c r="E7" s="54"/>
      <c r="F7" s="40">
        <v>9</v>
      </c>
      <c r="G7" s="61"/>
      <c r="H7" s="59">
        <v>9</v>
      </c>
      <c r="I7" s="54"/>
      <c r="J7" s="40">
        <v>2</v>
      </c>
      <c r="K7" s="54"/>
      <c r="L7" s="59">
        <v>7</v>
      </c>
      <c r="M7" s="54"/>
      <c r="N7" s="40">
        <v>2.25</v>
      </c>
      <c r="O7" s="54"/>
      <c r="P7" s="40">
        <v>2</v>
      </c>
      <c r="Q7" s="46">
        <f>SUM(P7,N7,L7,J7,H7,F7,D7)</f>
        <v>33.75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76</v>
      </c>
      <c r="C9" s="49"/>
      <c r="D9" s="41"/>
      <c r="E9" s="56"/>
      <c r="F9" s="41"/>
      <c r="G9" s="63"/>
      <c r="H9" s="60"/>
      <c r="I9" s="56" t="s">
        <v>37</v>
      </c>
      <c r="J9" s="41">
        <v>7</v>
      </c>
      <c r="K9" s="56" t="s">
        <v>37</v>
      </c>
      <c r="L9" s="60">
        <v>2</v>
      </c>
      <c r="M9" s="56" t="s">
        <v>37</v>
      </c>
      <c r="N9" s="41">
        <v>1.5</v>
      </c>
      <c r="O9" s="56"/>
      <c r="P9" s="41"/>
      <c r="Q9" s="46">
        <f t="shared" si="0"/>
        <v>10.5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68</v>
      </c>
      <c r="B11" s="79" t="s">
        <v>77</v>
      </c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>
        <v>0.5</v>
      </c>
      <c r="O11" s="56"/>
      <c r="P11" s="41"/>
      <c r="Q11" s="46">
        <f t="shared" si="0"/>
        <v>0.5</v>
      </c>
      <c r="S11" s="1"/>
    </row>
    <row r="12" spans="1:22" ht="17.25" customHeight="1" x14ac:dyDescent="0.2">
      <c r="A12" s="28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70</v>
      </c>
      <c r="B13" s="32" t="s">
        <v>78</v>
      </c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>
        <v>0.5</v>
      </c>
      <c r="O13" s="56"/>
      <c r="P13" s="41"/>
      <c r="Q13" s="46">
        <f t="shared" si="0"/>
        <v>0.5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2.5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4.75</v>
      </c>
      <c r="O29" s="69"/>
      <c r="P29" s="70">
        <f t="shared" si="1"/>
        <v>2</v>
      </c>
      <c r="Q29" s="73">
        <f t="shared" si="1"/>
        <v>45.25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43"/>
  <dimension ref="A1:V34"/>
  <sheetViews>
    <sheetView showZeros="0" zoomScale="110" zoomScaleNormal="110" workbookViewId="0">
      <selection activeCell="P20" sqref="P2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('11'!E4:G4)-7</f>
        <v>43898</v>
      </c>
      <c r="F4" s="142"/>
      <c r="G4" s="142"/>
      <c r="H4" s="67" t="s">
        <v>4</v>
      </c>
      <c r="I4" s="136">
        <f>E4+6</f>
        <v>43904</v>
      </c>
      <c r="J4" s="137"/>
      <c r="K4" s="137"/>
      <c r="L4" s="76"/>
      <c r="M4" s="19"/>
      <c r="N4" s="78">
        <v>10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45</v>
      </c>
      <c r="B7" s="81"/>
      <c r="C7" s="47"/>
      <c r="D7" s="40"/>
      <c r="E7" s="54"/>
      <c r="F7" s="40">
        <v>9</v>
      </c>
      <c r="G7" s="61"/>
      <c r="H7" s="59">
        <v>6</v>
      </c>
      <c r="I7" s="54"/>
      <c r="J7" s="40">
        <v>6</v>
      </c>
      <c r="K7" s="54"/>
      <c r="L7" s="59">
        <v>5</v>
      </c>
      <c r="M7" s="54"/>
      <c r="N7" s="40">
        <v>3</v>
      </c>
      <c r="O7" s="54"/>
      <c r="P7" s="40">
        <v>3</v>
      </c>
      <c r="Q7" s="46">
        <f>SUM(P7,N7,L7,J7,H7,F7,D7)</f>
        <v>32</v>
      </c>
      <c r="S7" s="1"/>
    </row>
    <row r="8" spans="1:22" ht="17.25" customHeight="1" x14ac:dyDescent="0.2">
      <c r="A8" s="8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68</v>
      </c>
      <c r="B9" s="32" t="s">
        <v>69</v>
      </c>
      <c r="C9" s="49"/>
      <c r="D9" s="41"/>
      <c r="E9" s="56"/>
      <c r="F9" s="41"/>
      <c r="G9" s="63" t="s">
        <v>36</v>
      </c>
      <c r="H9" s="60">
        <v>2</v>
      </c>
      <c r="I9" s="56"/>
      <c r="J9" s="41"/>
      <c r="K9" s="56"/>
      <c r="L9" s="60"/>
      <c r="M9" s="56"/>
      <c r="N9" s="41"/>
      <c r="O9" s="56"/>
      <c r="P9" s="41"/>
      <c r="Q9" s="46">
        <f t="shared" si="0"/>
        <v>2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 t="s">
        <v>37</v>
      </c>
      <c r="H10" s="37">
        <v>1</v>
      </c>
      <c r="I10" s="57"/>
      <c r="J10" s="31"/>
      <c r="K10" s="57"/>
      <c r="L10" s="37"/>
      <c r="M10" s="57"/>
      <c r="N10" s="31"/>
      <c r="O10" s="57"/>
      <c r="P10" s="31"/>
      <c r="Q10" s="46">
        <f t="shared" si="0"/>
        <v>1</v>
      </c>
      <c r="S10" s="1"/>
    </row>
    <row r="11" spans="1:22" ht="17.25" customHeight="1" x14ac:dyDescent="0.2">
      <c r="A11" s="28" t="s">
        <v>70</v>
      </c>
      <c r="B11" s="79" t="s">
        <v>71</v>
      </c>
      <c r="C11" s="49"/>
      <c r="D11" s="41"/>
      <c r="E11" s="56"/>
      <c r="F11" s="41"/>
      <c r="G11" s="63"/>
      <c r="H11" s="60"/>
      <c r="I11" s="56"/>
      <c r="J11" s="41"/>
      <c r="K11" s="56" t="s">
        <v>36</v>
      </c>
      <c r="L11" s="60">
        <v>2.5</v>
      </c>
      <c r="M11" s="56" t="s">
        <v>37</v>
      </c>
      <c r="N11" s="41">
        <v>1</v>
      </c>
      <c r="O11" s="56"/>
      <c r="P11" s="41"/>
      <c r="Q11" s="46">
        <f t="shared" si="0"/>
        <v>3.5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72</v>
      </c>
      <c r="B13" s="32" t="s">
        <v>73</v>
      </c>
      <c r="C13" s="49"/>
      <c r="D13" s="41"/>
      <c r="E13" s="56"/>
      <c r="F13" s="41"/>
      <c r="G13" s="63"/>
      <c r="H13" s="60"/>
      <c r="I13" s="56"/>
      <c r="J13" s="41"/>
      <c r="K13" s="56" t="s">
        <v>37</v>
      </c>
      <c r="L13" s="60">
        <v>1.5</v>
      </c>
      <c r="M13" s="56"/>
      <c r="N13" s="41"/>
      <c r="O13" s="56"/>
      <c r="P13" s="41"/>
      <c r="Q13" s="46">
        <f t="shared" si="0"/>
        <v>1.5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46</v>
      </c>
      <c r="B15" s="79" t="s">
        <v>74</v>
      </c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 t="s">
        <v>37</v>
      </c>
      <c r="N15" s="41">
        <v>1</v>
      </c>
      <c r="O15" s="56"/>
      <c r="P15" s="41"/>
      <c r="Q15" s="46">
        <f t="shared" si="0"/>
        <v>1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 t="s">
        <v>41</v>
      </c>
      <c r="B17" s="32" t="s">
        <v>75</v>
      </c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 t="s">
        <v>36</v>
      </c>
      <c r="N17" s="41">
        <v>1</v>
      </c>
      <c r="O17" s="56"/>
      <c r="P17" s="41"/>
      <c r="Q17" s="46">
        <f t="shared" si="0"/>
        <v>1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6</v>
      </c>
      <c r="K29" s="69"/>
      <c r="L29" s="70">
        <f t="shared" si="1"/>
        <v>9</v>
      </c>
      <c r="M29" s="69"/>
      <c r="N29" s="70">
        <f t="shared" si="1"/>
        <v>6</v>
      </c>
      <c r="O29" s="69"/>
      <c r="P29" s="70">
        <f t="shared" si="1"/>
        <v>3</v>
      </c>
      <c r="Q29" s="73">
        <f t="shared" si="1"/>
        <v>42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44"/>
  <dimension ref="A1:V34"/>
  <sheetViews>
    <sheetView showZeros="0" zoomScaleNormal="100" workbookViewId="0">
      <selection activeCell="B11" sqref="B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('10'!E4:G4)-7</f>
        <v>43891</v>
      </c>
      <c r="F4" s="142"/>
      <c r="G4" s="142"/>
      <c r="H4" s="67" t="s">
        <v>4</v>
      </c>
      <c r="I4" s="136">
        <f>E4+6</f>
        <v>43897</v>
      </c>
      <c r="J4" s="137"/>
      <c r="K4" s="137"/>
      <c r="L4" s="76"/>
      <c r="M4" s="19"/>
      <c r="N4" s="78">
        <v>9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67</v>
      </c>
      <c r="C7" s="121" t="s">
        <v>36</v>
      </c>
      <c r="D7" s="40">
        <v>4.5</v>
      </c>
      <c r="E7" s="54"/>
      <c r="F7" s="40">
        <v>4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8.5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45</v>
      </c>
      <c r="B9" s="32"/>
      <c r="C9" s="49"/>
      <c r="D9" s="41"/>
      <c r="E9" s="56"/>
      <c r="F9" s="41">
        <v>5</v>
      </c>
      <c r="G9" s="63"/>
      <c r="H9" s="60">
        <v>9</v>
      </c>
      <c r="I9" s="56"/>
      <c r="J9" s="41">
        <v>9</v>
      </c>
      <c r="K9" s="56"/>
      <c r="L9" s="60">
        <v>9</v>
      </c>
      <c r="M9" s="56"/>
      <c r="N9" s="41">
        <v>5.5</v>
      </c>
      <c r="O9" s="56"/>
      <c r="P9" s="41">
        <v>0.5</v>
      </c>
      <c r="Q9" s="46">
        <f t="shared" si="0"/>
        <v>38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4.5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5.5</v>
      </c>
      <c r="O29" s="69"/>
      <c r="P29" s="70">
        <f t="shared" si="1"/>
        <v>0.5</v>
      </c>
      <c r="Q29" s="73">
        <f t="shared" si="1"/>
        <v>46.5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45"/>
  <dimension ref="A1:V34"/>
  <sheetViews>
    <sheetView showZeros="0" zoomScaleNormal="100" workbookViewId="0">
      <selection activeCell="H19" sqref="H1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('09'!E4:G4)-7</f>
        <v>43884</v>
      </c>
      <c r="F4" s="142"/>
      <c r="G4" s="142"/>
      <c r="H4" s="67" t="s">
        <v>4</v>
      </c>
      <c r="I4" s="136">
        <f>E4+6</f>
        <v>43890</v>
      </c>
      <c r="J4" s="137"/>
      <c r="K4" s="137"/>
      <c r="L4" s="76"/>
      <c r="M4" s="19"/>
      <c r="N4" s="78">
        <v>8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65</v>
      </c>
      <c r="C7" s="47"/>
      <c r="D7" s="40"/>
      <c r="E7" s="54" t="s">
        <v>36</v>
      </c>
      <c r="F7" s="40">
        <v>8</v>
      </c>
      <c r="G7" s="61" t="s">
        <v>36</v>
      </c>
      <c r="H7" s="59">
        <v>7.5</v>
      </c>
      <c r="I7" s="54" t="s">
        <v>36</v>
      </c>
      <c r="J7" s="40">
        <v>1.5</v>
      </c>
      <c r="K7" s="54"/>
      <c r="L7" s="59"/>
      <c r="M7" s="54" t="s">
        <v>36</v>
      </c>
      <c r="N7" s="40">
        <v>5</v>
      </c>
      <c r="O7" s="54"/>
      <c r="P7" s="40"/>
      <c r="Q7" s="46">
        <f>SUM(P7,N7,L7,J7,H7,F7,D7)</f>
        <v>22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7" si="0">SUM(P8,N8,L8,J8,H8,F8,D8)</f>
        <v>0</v>
      </c>
      <c r="S8" s="1"/>
    </row>
    <row r="9" spans="1:22" ht="17.25" customHeight="1" x14ac:dyDescent="0.2">
      <c r="A9" s="28" t="s">
        <v>45</v>
      </c>
      <c r="B9" s="79"/>
      <c r="C9" s="49"/>
      <c r="D9" s="41"/>
      <c r="E9" s="56"/>
      <c r="F9" s="41"/>
      <c r="G9" s="63"/>
      <c r="H9" s="60">
        <v>1.5</v>
      </c>
      <c r="I9" s="56"/>
      <c r="J9" s="41">
        <v>6.5</v>
      </c>
      <c r="K9" s="56"/>
      <c r="L9" s="60">
        <v>9</v>
      </c>
      <c r="M9" s="56"/>
      <c r="N9" s="41">
        <v>2</v>
      </c>
      <c r="O9" s="56"/>
      <c r="P9" s="41"/>
      <c r="Q9" s="46">
        <f t="shared" si="0"/>
        <v>19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/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9</v>
      </c>
      <c r="I29" s="69"/>
      <c r="J29" s="70">
        <f t="shared" si="1"/>
        <v>8</v>
      </c>
      <c r="K29" s="69"/>
      <c r="L29" s="70">
        <f t="shared" si="1"/>
        <v>9</v>
      </c>
      <c r="M29" s="69"/>
      <c r="N29" s="70">
        <f t="shared" si="1"/>
        <v>7</v>
      </c>
      <c r="O29" s="69"/>
      <c r="P29" s="70">
        <f t="shared" si="1"/>
        <v>0</v>
      </c>
      <c r="Q29" s="73">
        <f t="shared" si="1"/>
        <v>41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Feuil46"/>
  <dimension ref="A1:V34"/>
  <sheetViews>
    <sheetView showZeros="0" zoomScaleNormal="100" workbookViewId="0">
      <selection activeCell="D11" sqref="D11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('08'!E4:G4)-7</f>
        <v>43877</v>
      </c>
      <c r="F4" s="142"/>
      <c r="G4" s="142"/>
      <c r="H4" s="67" t="s">
        <v>4</v>
      </c>
      <c r="I4" s="136">
        <f>E4+6</f>
        <v>43883</v>
      </c>
      <c r="J4" s="137"/>
      <c r="K4" s="137"/>
      <c r="L4" s="76"/>
      <c r="M4" s="19"/>
      <c r="N4" s="78">
        <v>7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65</v>
      </c>
      <c r="C7" s="121" t="s">
        <v>36</v>
      </c>
      <c r="D7" s="40">
        <v>5.5</v>
      </c>
      <c r="E7" s="54" t="s">
        <v>36</v>
      </c>
      <c r="F7" s="40">
        <v>9</v>
      </c>
      <c r="G7" s="61" t="s">
        <v>36</v>
      </c>
      <c r="H7" s="59">
        <v>9</v>
      </c>
      <c r="I7" s="54" t="s">
        <v>36</v>
      </c>
      <c r="J7" s="40">
        <v>7.5</v>
      </c>
      <c r="K7" s="54" t="s">
        <v>36</v>
      </c>
      <c r="L7" s="59">
        <v>9</v>
      </c>
      <c r="M7" s="54" t="s">
        <v>36</v>
      </c>
      <c r="N7" s="40">
        <v>3.5</v>
      </c>
      <c r="O7" s="54"/>
      <c r="P7" s="40"/>
      <c r="Q7" s="46">
        <f>SUM(P7,N7,L7,J7,H7,F7,D7)</f>
        <v>43.5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46</v>
      </c>
      <c r="B9" s="32" t="s">
        <v>66</v>
      </c>
      <c r="C9" s="49"/>
      <c r="D9" s="41"/>
      <c r="E9" s="56"/>
      <c r="F9" s="41"/>
      <c r="G9" s="63"/>
      <c r="H9" s="60"/>
      <c r="I9" s="56"/>
      <c r="J9" s="41"/>
      <c r="K9" s="56"/>
      <c r="L9" s="60"/>
      <c r="M9" s="56" t="s">
        <v>36</v>
      </c>
      <c r="N9" s="41">
        <v>0.5</v>
      </c>
      <c r="O9" s="56"/>
      <c r="P9" s="41"/>
      <c r="Q9" s="46">
        <f t="shared" si="0"/>
        <v>0.5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/>
      <c r="B11" s="79"/>
      <c r="C11" s="4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30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5.5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7.5</v>
      </c>
      <c r="K29" s="69"/>
      <c r="L29" s="70">
        <f t="shared" si="1"/>
        <v>9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44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Feuil47"/>
  <dimension ref="A1:V34"/>
  <sheetViews>
    <sheetView showZeros="0" zoomScaleNormal="100" workbookViewId="0">
      <selection activeCell="B9" sqref="B9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('07'!E4:G4)-7</f>
        <v>43870</v>
      </c>
      <c r="F4" s="142"/>
      <c r="G4" s="142"/>
      <c r="H4" s="67" t="s">
        <v>4</v>
      </c>
      <c r="I4" s="136">
        <f>E4+6</f>
        <v>43876</v>
      </c>
      <c r="J4" s="137"/>
      <c r="K4" s="137"/>
      <c r="L4" s="76"/>
      <c r="M4" s="19"/>
      <c r="N4" s="78">
        <v>6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120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62</v>
      </c>
      <c r="B7" s="90" t="s">
        <v>45</v>
      </c>
      <c r="C7" s="47"/>
      <c r="D7" s="40"/>
      <c r="E7" s="54"/>
      <c r="F7" s="40">
        <v>1.5</v>
      </c>
      <c r="G7" s="61"/>
      <c r="H7" s="59"/>
      <c r="I7" s="54"/>
      <c r="J7" s="40">
        <v>1</v>
      </c>
      <c r="K7" s="54"/>
      <c r="L7" s="59"/>
      <c r="M7" s="54"/>
      <c r="N7" s="40"/>
      <c r="O7" s="54"/>
      <c r="P7" s="40"/>
      <c r="Q7" s="46">
        <f>SUM(P7,N7,L7,J7,H7,F7,D7)</f>
        <v>2.5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63</v>
      </c>
      <c r="C9" s="49"/>
      <c r="D9" s="41"/>
      <c r="E9" s="56" t="s">
        <v>36</v>
      </c>
      <c r="F9" s="41">
        <v>7.5</v>
      </c>
      <c r="G9" s="63" t="s">
        <v>36</v>
      </c>
      <c r="H9" s="60">
        <v>9</v>
      </c>
      <c r="I9" s="56" t="s">
        <v>36</v>
      </c>
      <c r="J9" s="41">
        <v>5.5</v>
      </c>
      <c r="K9" s="56"/>
      <c r="L9" s="60">
        <v>9</v>
      </c>
      <c r="M9" s="56"/>
      <c r="N9" s="41">
        <v>4</v>
      </c>
      <c r="O9" s="56"/>
      <c r="P9" s="41"/>
      <c r="Q9" s="46">
        <f t="shared" si="0"/>
        <v>35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60</v>
      </c>
      <c r="B11" s="32" t="s">
        <v>45</v>
      </c>
      <c r="C11" s="49"/>
      <c r="D11" s="41"/>
      <c r="E11" s="56"/>
      <c r="F11" s="41"/>
      <c r="G11" s="63"/>
      <c r="H11" s="60"/>
      <c r="I11" s="56"/>
      <c r="J11" s="41">
        <v>1</v>
      </c>
      <c r="K11" s="56"/>
      <c r="L11" s="60"/>
      <c r="M11" s="56"/>
      <c r="N11" s="41"/>
      <c r="O11" s="56"/>
      <c r="P11" s="41"/>
      <c r="Q11" s="46">
        <f t="shared" si="0"/>
        <v>1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61</v>
      </c>
      <c r="B13" s="32" t="s">
        <v>45</v>
      </c>
      <c r="C13" s="49"/>
      <c r="D13" s="41"/>
      <c r="E13" s="56"/>
      <c r="F13" s="41"/>
      <c r="G13" s="63"/>
      <c r="H13" s="60"/>
      <c r="I13" s="56"/>
      <c r="J13" s="41">
        <v>1</v>
      </c>
      <c r="K13" s="56"/>
      <c r="L13" s="60"/>
      <c r="M13" s="56"/>
      <c r="N13" s="41"/>
      <c r="O13" s="56"/>
      <c r="P13" s="41"/>
      <c r="Q13" s="46">
        <f t="shared" si="0"/>
        <v>1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46</v>
      </c>
      <c r="B15" s="80" t="s">
        <v>64</v>
      </c>
      <c r="C15" s="49"/>
      <c r="D15" s="41"/>
      <c r="E15" s="56"/>
      <c r="F15" s="41"/>
      <c r="G15" s="63"/>
      <c r="H15" s="60"/>
      <c r="I15" s="56"/>
      <c r="J15" s="41">
        <v>0.5</v>
      </c>
      <c r="K15" s="56"/>
      <c r="L15" s="60"/>
      <c r="M15" s="56"/>
      <c r="N15" s="41"/>
      <c r="O15" s="56"/>
      <c r="P15" s="41"/>
      <c r="Q15" s="46">
        <f t="shared" si="0"/>
        <v>0.5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40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Feuil48"/>
  <dimension ref="A1:V34"/>
  <sheetViews>
    <sheetView showZeros="0" zoomScaleNormal="100" workbookViewId="0">
      <selection activeCell="B20" sqref="B20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('06'!E4:G4)-7</f>
        <v>43863</v>
      </c>
      <c r="F4" s="142"/>
      <c r="G4" s="142"/>
      <c r="H4" s="67" t="s">
        <v>4</v>
      </c>
      <c r="I4" s="136">
        <f>E4+6</f>
        <v>43869</v>
      </c>
      <c r="J4" s="137"/>
      <c r="K4" s="137"/>
      <c r="L4" s="76"/>
      <c r="M4" s="19"/>
      <c r="N4" s="78">
        <v>5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53</v>
      </c>
      <c r="B7" s="90" t="s">
        <v>45</v>
      </c>
      <c r="C7" s="47"/>
      <c r="D7" s="40"/>
      <c r="E7" s="54"/>
      <c r="F7" s="40">
        <v>9</v>
      </c>
      <c r="G7" s="61"/>
      <c r="H7" s="59">
        <v>2.5</v>
      </c>
      <c r="I7" s="54"/>
      <c r="J7" s="40"/>
      <c r="K7" s="54"/>
      <c r="L7" s="59"/>
      <c r="M7" s="54"/>
      <c r="N7" s="40"/>
      <c r="O7" s="54"/>
      <c r="P7" s="40"/>
      <c r="Q7" s="46">
        <f>SUM(P7,N7,L7,J7,H7,F7,D7)</f>
        <v>11.5</v>
      </c>
      <c r="S7" s="1"/>
    </row>
    <row r="8" spans="1:22" ht="17.25" customHeight="1" x14ac:dyDescent="0.2">
      <c r="A8" s="24"/>
      <c r="B8" s="82"/>
      <c r="C8" s="48"/>
      <c r="D8" s="20"/>
      <c r="E8" s="55"/>
      <c r="F8" s="20"/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0</v>
      </c>
      <c r="S8" s="1"/>
    </row>
    <row r="9" spans="1:22" ht="17.25" customHeight="1" x14ac:dyDescent="0.2">
      <c r="A9" s="28" t="s">
        <v>41</v>
      </c>
      <c r="B9" s="32" t="s">
        <v>59</v>
      </c>
      <c r="C9" s="49"/>
      <c r="D9" s="41"/>
      <c r="E9" s="56"/>
      <c r="F9" s="41"/>
      <c r="G9" s="63" t="s">
        <v>36</v>
      </c>
      <c r="H9" s="60">
        <v>2.5</v>
      </c>
      <c r="I9" s="56" t="s">
        <v>36</v>
      </c>
      <c r="J9" s="41">
        <v>2</v>
      </c>
      <c r="K9" s="56" t="s">
        <v>36</v>
      </c>
      <c r="L9" s="60">
        <v>4</v>
      </c>
      <c r="M9" s="56" t="s">
        <v>36</v>
      </c>
      <c r="N9" s="41">
        <v>7</v>
      </c>
      <c r="O9" s="56"/>
      <c r="P9" s="41"/>
      <c r="Q9" s="46">
        <f t="shared" si="0"/>
        <v>15.5</v>
      </c>
      <c r="S9" s="1"/>
    </row>
    <row r="10" spans="1:22" ht="17.25" customHeight="1" x14ac:dyDescent="0.2">
      <c r="A10" s="29"/>
      <c r="B10" s="32"/>
      <c r="C10" s="48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28" t="s">
        <v>58</v>
      </c>
      <c r="B11" s="32" t="s">
        <v>45</v>
      </c>
      <c r="C11" s="49"/>
      <c r="D11" s="41"/>
      <c r="E11" s="56"/>
      <c r="F11" s="41"/>
      <c r="G11" s="63"/>
      <c r="H11" s="60">
        <v>2.25</v>
      </c>
      <c r="I11" s="56"/>
      <c r="J11" s="41">
        <v>7</v>
      </c>
      <c r="K11" s="56"/>
      <c r="L11" s="60">
        <v>3</v>
      </c>
      <c r="M11" s="56"/>
      <c r="N11" s="41"/>
      <c r="O11" s="56"/>
      <c r="P11" s="41"/>
      <c r="Q11" s="46">
        <f t="shared" si="0"/>
        <v>12.25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 t="s">
        <v>60</v>
      </c>
      <c r="B13" s="32" t="s">
        <v>45</v>
      </c>
      <c r="C13" s="49"/>
      <c r="D13" s="41"/>
      <c r="E13" s="56"/>
      <c r="F13" s="41"/>
      <c r="G13" s="63"/>
      <c r="H13" s="60"/>
      <c r="I13" s="56"/>
      <c r="J13" s="41"/>
      <c r="K13" s="56"/>
      <c r="L13" s="60">
        <v>1</v>
      </c>
      <c r="M13" s="56"/>
      <c r="N13" s="41"/>
      <c r="O13" s="56"/>
      <c r="P13" s="41"/>
      <c r="Q13" s="46">
        <f t="shared" si="0"/>
        <v>1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 t="s">
        <v>61</v>
      </c>
      <c r="B15" s="32" t="s">
        <v>45</v>
      </c>
      <c r="C15" s="49"/>
      <c r="D15" s="41"/>
      <c r="E15" s="56"/>
      <c r="F15" s="41"/>
      <c r="G15" s="63"/>
      <c r="H15" s="60"/>
      <c r="I15" s="56"/>
      <c r="J15" s="41"/>
      <c r="K15" s="56"/>
      <c r="L15" s="60">
        <v>1</v>
      </c>
      <c r="M15" s="56"/>
      <c r="N15" s="41"/>
      <c r="O15" s="56"/>
      <c r="P15" s="41"/>
      <c r="Q15" s="46">
        <f t="shared" si="0"/>
        <v>1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 t="s">
        <v>62</v>
      </c>
      <c r="B17" s="32" t="s">
        <v>45</v>
      </c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>
        <v>1.5</v>
      </c>
      <c r="O17" s="56"/>
      <c r="P17" s="41"/>
      <c r="Q17" s="46">
        <f t="shared" si="0"/>
        <v>1.5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7.25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8.5</v>
      </c>
      <c r="O29" s="69"/>
      <c r="P29" s="70">
        <f t="shared" si="1"/>
        <v>0</v>
      </c>
      <c r="Q29" s="73">
        <f t="shared" si="1"/>
        <v>42.75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Feuil49"/>
  <dimension ref="A1:V34"/>
  <sheetViews>
    <sheetView showZeros="0" zoomScale="115" workbookViewId="0">
      <selection activeCell="J23" sqref="J23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('05'!E4:G4)-7</f>
        <v>43856</v>
      </c>
      <c r="F4" s="142"/>
      <c r="G4" s="142"/>
      <c r="H4" s="67" t="s">
        <v>4</v>
      </c>
      <c r="I4" s="136">
        <f>E4+6</f>
        <v>43862</v>
      </c>
      <c r="J4" s="137"/>
      <c r="K4" s="137"/>
      <c r="L4" s="76"/>
      <c r="M4" s="19"/>
      <c r="N4" s="78">
        <v>4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43" t="s">
        <v>5</v>
      </c>
      <c r="D5" s="144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52</v>
      </c>
      <c r="C7" s="47"/>
      <c r="D7" s="40"/>
      <c r="E7" s="54" t="s">
        <v>36</v>
      </c>
      <c r="F7" s="40">
        <v>9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 t="shared" ref="Q7:Q28" si="0">SUM(P7,N7,L7,J7,H7,F7,D7)</f>
        <v>9</v>
      </c>
      <c r="S7" s="1"/>
    </row>
    <row r="8" spans="1:22" ht="17.25" customHeight="1" x14ac:dyDescent="0.2">
      <c r="A8" s="84" t="s">
        <v>54</v>
      </c>
      <c r="B8" s="82" t="s">
        <v>45</v>
      </c>
      <c r="C8" s="48"/>
      <c r="D8" s="20"/>
      <c r="E8" s="55"/>
      <c r="F8" s="20"/>
      <c r="G8" s="62"/>
      <c r="H8" s="36">
        <v>2.5</v>
      </c>
      <c r="I8" s="55"/>
      <c r="J8" s="20">
        <v>2</v>
      </c>
      <c r="K8" s="55"/>
      <c r="L8" s="36">
        <v>1</v>
      </c>
      <c r="M8" s="55"/>
      <c r="N8" s="20"/>
      <c r="O8" s="55"/>
      <c r="P8" s="20"/>
      <c r="Q8" s="46">
        <f t="shared" si="0"/>
        <v>5.5</v>
      </c>
      <c r="S8" s="1"/>
    </row>
    <row r="9" spans="1:22" ht="17.25" customHeight="1" x14ac:dyDescent="0.2">
      <c r="A9" s="28" t="s">
        <v>55</v>
      </c>
      <c r="B9" s="32" t="s">
        <v>45</v>
      </c>
      <c r="C9" s="49"/>
      <c r="D9" s="41"/>
      <c r="E9" s="56"/>
      <c r="F9" s="41"/>
      <c r="G9" s="63"/>
      <c r="H9" s="60">
        <v>1.25</v>
      </c>
      <c r="I9" s="56"/>
      <c r="J9" s="41">
        <v>5</v>
      </c>
      <c r="K9" s="56"/>
      <c r="L9" s="60"/>
      <c r="M9" s="56"/>
      <c r="N9" s="41"/>
      <c r="O9" s="56"/>
      <c r="P9" s="41"/>
      <c r="Q9" s="46">
        <f t="shared" si="0"/>
        <v>6.25</v>
      </c>
      <c r="S9" s="1"/>
    </row>
    <row r="10" spans="1:22" ht="17.25" customHeight="1" x14ac:dyDescent="0.2">
      <c r="A10" s="29" t="s">
        <v>56</v>
      </c>
      <c r="B10" s="32" t="s">
        <v>45</v>
      </c>
      <c r="C10" s="48"/>
      <c r="D10" s="31"/>
      <c r="E10" s="57"/>
      <c r="F10" s="31"/>
      <c r="G10" s="64"/>
      <c r="H10" s="37">
        <v>5.25</v>
      </c>
      <c r="I10" s="57"/>
      <c r="J10" s="31">
        <v>2</v>
      </c>
      <c r="K10" s="57"/>
      <c r="L10" s="37"/>
      <c r="M10" s="57"/>
      <c r="N10" s="31"/>
      <c r="O10" s="57"/>
      <c r="P10" s="31"/>
      <c r="Q10" s="46">
        <f t="shared" si="0"/>
        <v>7.25</v>
      </c>
      <c r="S10" s="1"/>
    </row>
    <row r="11" spans="1:22" ht="17.25" customHeight="1" x14ac:dyDescent="0.2">
      <c r="A11" s="28" t="s">
        <v>58</v>
      </c>
      <c r="B11" s="79" t="s">
        <v>45</v>
      </c>
      <c r="C11" s="49"/>
      <c r="D11" s="41"/>
      <c r="E11" s="56"/>
      <c r="F11" s="41"/>
      <c r="G11" s="63"/>
      <c r="H11" s="60"/>
      <c r="I11" s="56"/>
      <c r="J11" s="41"/>
      <c r="K11" s="56"/>
      <c r="L11" s="60">
        <v>2</v>
      </c>
      <c r="M11" s="56"/>
      <c r="N11" s="41">
        <v>4</v>
      </c>
      <c r="O11" s="56"/>
      <c r="P11" s="41"/>
      <c r="Q11" s="46">
        <f t="shared" si="0"/>
        <v>6</v>
      </c>
      <c r="S11" s="1"/>
    </row>
    <row r="12" spans="1:22" ht="17.25" customHeight="1" x14ac:dyDescent="0.2">
      <c r="A12" s="29" t="s">
        <v>57</v>
      </c>
      <c r="B12" s="30" t="s">
        <v>45</v>
      </c>
      <c r="C12" s="48"/>
      <c r="D12" s="31"/>
      <c r="E12" s="57"/>
      <c r="F12" s="31"/>
      <c r="G12" s="64"/>
      <c r="H12" s="37"/>
      <c r="I12" s="57"/>
      <c r="J12" s="31"/>
      <c r="K12" s="57"/>
      <c r="L12" s="37">
        <v>3</v>
      </c>
      <c r="M12" s="57"/>
      <c r="N12" s="31"/>
      <c r="O12" s="57"/>
      <c r="P12" s="31"/>
      <c r="Q12" s="46">
        <f t="shared" si="0"/>
        <v>3</v>
      </c>
      <c r="S12" s="1"/>
    </row>
    <row r="13" spans="1:22" ht="17.25" customHeight="1" x14ac:dyDescent="0.2">
      <c r="A13" s="28" t="s">
        <v>53</v>
      </c>
      <c r="B13" s="32" t="s">
        <v>45</v>
      </c>
      <c r="C13" s="49"/>
      <c r="D13" s="41"/>
      <c r="E13" s="56"/>
      <c r="F13" s="41"/>
      <c r="G13" s="63"/>
      <c r="H13" s="60"/>
      <c r="I13" s="56"/>
      <c r="J13" s="41"/>
      <c r="K13" s="56"/>
      <c r="L13" s="60">
        <v>3</v>
      </c>
      <c r="M13" s="56"/>
      <c r="N13" s="41"/>
      <c r="O13" s="56"/>
      <c r="P13" s="41"/>
      <c r="Q13" s="46">
        <f t="shared" si="0"/>
        <v>3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>SUM(D7:D28)</f>
        <v>0</v>
      </c>
      <c r="E29" s="69"/>
      <c r="F29" s="70">
        <f>SUM(F7:F28)</f>
        <v>9</v>
      </c>
      <c r="G29" s="68"/>
      <c r="H29" s="71">
        <f>SUM(H7:H28)</f>
        <v>9</v>
      </c>
      <c r="I29" s="69"/>
      <c r="J29" s="70">
        <f>SUM(J7:J28)</f>
        <v>9</v>
      </c>
      <c r="K29" s="69"/>
      <c r="L29" s="70">
        <f>SUM(L7:L28)</f>
        <v>9</v>
      </c>
      <c r="M29" s="69"/>
      <c r="N29" s="70">
        <f>SUM(N7:N28)</f>
        <v>4</v>
      </c>
      <c r="O29" s="69"/>
      <c r="P29" s="70">
        <f>SUM(P7:P28)</f>
        <v>0</v>
      </c>
      <c r="Q29" s="73">
        <f>SUM(Q7:Q28)</f>
        <v>40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A2:Q2"/>
    <mergeCell ref="E4:G4"/>
    <mergeCell ref="I4:K4"/>
    <mergeCell ref="C5:D5"/>
    <mergeCell ref="E5:F5"/>
    <mergeCell ref="G5:H5"/>
    <mergeCell ref="I5:J5"/>
    <mergeCell ref="K5:L5"/>
    <mergeCell ref="M5:N5"/>
    <mergeCell ref="O5:P5"/>
    <mergeCell ref="Q5:Q6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Feuil50"/>
  <dimension ref="A1:V34"/>
  <sheetViews>
    <sheetView showZeros="0" topLeftCell="A4" zoomScale="115" workbookViewId="0">
      <selection activeCell="F13" sqref="F13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('04'!E4:G4)-7</f>
        <v>43849</v>
      </c>
      <c r="F4" s="142"/>
      <c r="G4" s="142"/>
      <c r="H4" s="67" t="s">
        <v>4</v>
      </c>
      <c r="I4" s="136">
        <f>E4+6</f>
        <v>43855</v>
      </c>
      <c r="J4" s="137"/>
      <c r="K4" s="137"/>
      <c r="L4" s="76"/>
      <c r="M4" s="19"/>
      <c r="N4" s="78"/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48</v>
      </c>
      <c r="B7" s="81" t="s">
        <v>50</v>
      </c>
      <c r="C7" s="47"/>
      <c r="D7" s="40"/>
      <c r="E7" s="54"/>
      <c r="F7" s="40">
        <v>4.5</v>
      </c>
      <c r="G7" s="61"/>
      <c r="H7" s="59">
        <v>5</v>
      </c>
      <c r="I7" s="54"/>
      <c r="J7" s="40">
        <v>2</v>
      </c>
      <c r="K7" s="54"/>
      <c r="L7" s="59">
        <v>2</v>
      </c>
      <c r="M7" s="54"/>
      <c r="N7" s="40">
        <v>2</v>
      </c>
      <c r="O7" s="54"/>
      <c r="P7" s="40"/>
      <c r="Q7" s="46">
        <f>SUM(P7,N7,L7,J7,H7,F7,D7)</f>
        <v>15.5</v>
      </c>
      <c r="S7" s="1"/>
    </row>
    <row r="8" spans="1:22" ht="17.25" customHeight="1" x14ac:dyDescent="0.2">
      <c r="A8" s="84" t="s">
        <v>51</v>
      </c>
      <c r="B8" s="82" t="s">
        <v>45</v>
      </c>
      <c r="C8" s="48"/>
      <c r="D8" s="20"/>
      <c r="E8" s="55"/>
      <c r="F8" s="20">
        <v>0.5</v>
      </c>
      <c r="G8" s="62"/>
      <c r="H8" s="36"/>
      <c r="I8" s="55"/>
      <c r="J8" s="20">
        <v>1.5</v>
      </c>
      <c r="K8" s="55"/>
      <c r="L8" s="36">
        <v>1</v>
      </c>
      <c r="M8" s="55"/>
      <c r="N8" s="20"/>
      <c r="O8" s="55"/>
      <c r="P8" s="20"/>
      <c r="Q8" s="46">
        <f t="shared" ref="Q8:Q28" si="0">SUM(P8,N8,L8,J8,H8,F8,D8)</f>
        <v>3</v>
      </c>
      <c r="S8" s="1"/>
    </row>
    <row r="9" spans="1:22" ht="17.25" customHeight="1" x14ac:dyDescent="0.2">
      <c r="A9" s="28" t="s">
        <v>41</v>
      </c>
      <c r="B9" s="32" t="s">
        <v>52</v>
      </c>
      <c r="C9" s="49"/>
      <c r="D9" s="41"/>
      <c r="E9" s="56"/>
      <c r="F9" s="41">
        <v>4</v>
      </c>
      <c r="G9" s="63"/>
      <c r="H9" s="60"/>
      <c r="I9" s="56"/>
      <c r="J9" s="41"/>
      <c r="K9" s="56"/>
      <c r="L9" s="60">
        <v>4</v>
      </c>
      <c r="M9" s="56"/>
      <c r="N9" s="41">
        <v>6</v>
      </c>
      <c r="O9" s="56"/>
      <c r="P9" s="41"/>
      <c r="Q9" s="46">
        <f t="shared" si="0"/>
        <v>14</v>
      </c>
      <c r="S9" s="1"/>
    </row>
    <row r="10" spans="1:22" ht="17.25" customHeight="1" x14ac:dyDescent="0.2">
      <c r="A10" s="29" t="s">
        <v>49</v>
      </c>
      <c r="B10" s="32" t="s">
        <v>45</v>
      </c>
      <c r="C10" s="48"/>
      <c r="D10" s="31"/>
      <c r="E10" s="57"/>
      <c r="F10" s="31"/>
      <c r="G10" s="64"/>
      <c r="H10" s="37">
        <v>4</v>
      </c>
      <c r="I10" s="57"/>
      <c r="J10" s="31">
        <v>1.5</v>
      </c>
      <c r="K10" s="57"/>
      <c r="L10" s="37">
        <v>2</v>
      </c>
      <c r="M10" s="57"/>
      <c r="N10" s="31">
        <v>0.5</v>
      </c>
      <c r="O10" s="57"/>
      <c r="P10" s="31"/>
      <c r="Q10" s="46">
        <f t="shared" si="0"/>
        <v>8</v>
      </c>
      <c r="S10" s="1"/>
    </row>
    <row r="11" spans="1:22" ht="17.25" customHeight="1" x14ac:dyDescent="0.2">
      <c r="A11" s="28" t="s">
        <v>53</v>
      </c>
      <c r="B11" s="79" t="s">
        <v>45</v>
      </c>
      <c r="C11" s="49"/>
      <c r="D11" s="41"/>
      <c r="E11" s="56"/>
      <c r="F11" s="41"/>
      <c r="G11" s="63"/>
      <c r="H11" s="60"/>
      <c r="I11" s="56"/>
      <c r="J11" s="41">
        <v>4</v>
      </c>
      <c r="K11" s="56"/>
      <c r="L11" s="60"/>
      <c r="M11" s="56"/>
      <c r="N11" s="41"/>
      <c r="O11" s="56"/>
      <c r="P11" s="41"/>
      <c r="Q11" s="46">
        <f t="shared" si="0"/>
        <v>4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8.5</v>
      </c>
      <c r="O29" s="69"/>
      <c r="P29" s="70">
        <f t="shared" si="1"/>
        <v>0</v>
      </c>
      <c r="Q29" s="73">
        <f t="shared" si="1"/>
        <v>44.5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Feuil51"/>
  <dimension ref="A1:V34"/>
  <sheetViews>
    <sheetView showZeros="0" zoomScale="115" workbookViewId="0">
      <selection activeCell="A4" sqref="A4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'52'!A4</f>
        <v>Benoit Beauchemin</v>
      </c>
      <c r="B4" s="17"/>
      <c r="C4" s="44"/>
      <c r="D4" s="9" t="s">
        <v>3</v>
      </c>
      <c r="E4" s="136">
        <f>('03'!E4:G4)-7</f>
        <v>43842</v>
      </c>
      <c r="F4" s="142"/>
      <c r="G4" s="142"/>
      <c r="H4" s="67" t="s">
        <v>4</v>
      </c>
      <c r="I4" s="136">
        <f>E4+6</f>
        <v>43848</v>
      </c>
      <c r="J4" s="137"/>
      <c r="K4" s="137"/>
      <c r="L4" s="76"/>
      <c r="M4" s="19"/>
      <c r="N4" s="78">
        <v>2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04" t="s">
        <v>41</v>
      </c>
      <c r="B7" s="92" t="s">
        <v>43</v>
      </c>
      <c r="C7" s="93"/>
      <c r="D7" s="40"/>
      <c r="E7" s="54" t="s">
        <v>36</v>
      </c>
      <c r="F7" s="40">
        <v>1</v>
      </c>
      <c r="G7" s="61"/>
      <c r="H7" s="59"/>
      <c r="I7" s="54"/>
      <c r="J7" s="40"/>
      <c r="K7" s="54"/>
      <c r="L7" s="59"/>
      <c r="M7" s="54"/>
      <c r="N7" s="40"/>
      <c r="O7" s="54"/>
      <c r="P7" s="40"/>
      <c r="Q7" s="46">
        <f>SUM(P7,N7,L7,J7,H7,F7,D7)</f>
        <v>1</v>
      </c>
      <c r="S7" s="1"/>
    </row>
    <row r="8" spans="1:22" ht="17.25" customHeight="1" x14ac:dyDescent="0.2">
      <c r="A8" s="94" t="s">
        <v>48</v>
      </c>
      <c r="B8" s="95" t="s">
        <v>45</v>
      </c>
      <c r="C8" s="96"/>
      <c r="D8" s="20"/>
      <c r="E8" s="55"/>
      <c r="F8" s="20">
        <v>8</v>
      </c>
      <c r="G8" s="62"/>
      <c r="H8" s="36">
        <v>9</v>
      </c>
      <c r="I8" s="55"/>
      <c r="J8" s="20">
        <v>9</v>
      </c>
      <c r="K8" s="55"/>
      <c r="L8" s="36">
        <v>11</v>
      </c>
      <c r="M8" s="55"/>
      <c r="N8" s="20">
        <v>4</v>
      </c>
      <c r="O8" s="55"/>
      <c r="P8" s="20"/>
      <c r="Q8" s="46">
        <f t="shared" ref="Q8:Q28" si="0">SUM(P8,N8,L8,J8,H8,F8,D8)</f>
        <v>41</v>
      </c>
      <c r="S8" s="1"/>
    </row>
    <row r="9" spans="1:22" ht="17.25" customHeight="1" x14ac:dyDescent="0.2">
      <c r="A9" s="97"/>
      <c r="B9" s="98"/>
      <c r="C9" s="99"/>
      <c r="D9" s="41"/>
      <c r="E9" s="56"/>
      <c r="F9" s="41"/>
      <c r="G9" s="63"/>
      <c r="H9" s="60"/>
      <c r="I9" s="56"/>
      <c r="J9" s="41"/>
      <c r="K9" s="56"/>
      <c r="L9" s="60"/>
      <c r="M9" s="56"/>
      <c r="N9" s="41"/>
      <c r="O9" s="56"/>
      <c r="P9" s="41"/>
      <c r="Q9" s="46">
        <f t="shared" si="0"/>
        <v>0</v>
      </c>
      <c r="S9" s="1"/>
    </row>
    <row r="10" spans="1:22" ht="17.25" customHeight="1" x14ac:dyDescent="0.2">
      <c r="A10" s="100"/>
      <c r="B10" s="98"/>
      <c r="C10" s="96"/>
      <c r="D10" s="31"/>
      <c r="E10" s="57"/>
      <c r="F10" s="31"/>
      <c r="G10" s="64"/>
      <c r="H10" s="37"/>
      <c r="I10" s="57"/>
      <c r="J10" s="31"/>
      <c r="K10" s="57"/>
      <c r="L10" s="37"/>
      <c r="M10" s="57"/>
      <c r="N10" s="31"/>
      <c r="O10" s="57"/>
      <c r="P10" s="31"/>
      <c r="Q10" s="46">
        <f t="shared" si="0"/>
        <v>0</v>
      </c>
      <c r="S10" s="1"/>
    </row>
    <row r="11" spans="1:22" ht="17.25" customHeight="1" x14ac:dyDescent="0.2">
      <c r="A11" s="97"/>
      <c r="B11" s="101"/>
      <c r="C11" s="99"/>
      <c r="D11" s="41"/>
      <c r="E11" s="56"/>
      <c r="F11" s="41"/>
      <c r="G11" s="63"/>
      <c r="H11" s="60"/>
      <c r="I11" s="56"/>
      <c r="J11" s="41"/>
      <c r="K11" s="56"/>
      <c r="L11" s="60"/>
      <c r="M11" s="56"/>
      <c r="N11" s="41"/>
      <c r="O11" s="56"/>
      <c r="P11" s="41"/>
      <c r="Q11" s="46">
        <f t="shared" si="0"/>
        <v>0</v>
      </c>
      <c r="S11" s="1"/>
    </row>
    <row r="12" spans="1:22" ht="17.25" customHeight="1" x14ac:dyDescent="0.2">
      <c r="A12" s="100"/>
      <c r="B12" s="102"/>
      <c r="C12" s="96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97"/>
      <c r="B13" s="98"/>
      <c r="C13" s="9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100"/>
      <c r="B14" s="102"/>
      <c r="C14" s="96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97"/>
      <c r="B15" s="101"/>
      <c r="C15" s="9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100"/>
      <c r="B16" s="102"/>
      <c r="C16" s="96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97"/>
      <c r="B17" s="98"/>
      <c r="C17" s="9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100"/>
      <c r="B18" s="95"/>
      <c r="C18" s="96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83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9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11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42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Feuil52"/>
  <dimension ref="A1:V34"/>
  <sheetViews>
    <sheetView showZeros="0" zoomScale="115" workbookViewId="0">
      <selection activeCell="D16" sqref="D16"/>
    </sheetView>
  </sheetViews>
  <sheetFormatPr baseColWidth="10" defaultRowHeight="12.75" x14ac:dyDescent="0.2"/>
  <cols>
    <col min="1" max="1" width="14.7109375" style="3" customWidth="1"/>
    <col min="2" max="2" width="29.28515625" style="3" customWidth="1"/>
    <col min="3" max="3" width="4.7109375" style="3" customWidth="1"/>
    <col min="4" max="4" width="6.7109375" style="3" customWidth="1"/>
    <col min="5" max="5" width="4.7109375" style="3" customWidth="1"/>
    <col min="6" max="6" width="6.7109375" style="3" customWidth="1"/>
    <col min="7" max="7" width="4.7109375" style="3" customWidth="1"/>
    <col min="8" max="8" width="6.7109375" style="3" customWidth="1"/>
    <col min="9" max="9" width="4.7109375" style="3" customWidth="1"/>
    <col min="10" max="10" width="6.7109375" style="3" customWidth="1"/>
    <col min="11" max="11" width="4.7109375" style="3" customWidth="1"/>
    <col min="12" max="12" width="6.7109375" style="3" customWidth="1"/>
    <col min="13" max="13" width="4.7109375" style="3" customWidth="1"/>
    <col min="14" max="14" width="6.7109375" style="3" customWidth="1"/>
    <col min="15" max="15" width="4.7109375" style="3" customWidth="1"/>
    <col min="16" max="16" width="6.7109375" style="3" customWidth="1"/>
    <col min="17" max="17" width="9.140625" style="3" customWidth="1"/>
    <col min="18" max="16384" width="11.42578125" style="3"/>
  </cols>
  <sheetData>
    <row r="1" spans="1:22" ht="39" customHeight="1" x14ac:dyDescent="0.4">
      <c r="A1" s="11"/>
      <c r="B1" s="1"/>
      <c r="C1" s="1"/>
      <c r="D1" s="2"/>
      <c r="E1" s="2"/>
      <c r="F1" s="1"/>
      <c r="G1" s="1"/>
      <c r="H1" s="1"/>
      <c r="I1" s="1"/>
      <c r="J1" s="116"/>
      <c r="K1" s="117"/>
      <c r="L1" s="117"/>
      <c r="M1" s="117"/>
      <c r="N1" s="117"/>
      <c r="O1" s="117"/>
      <c r="P1" s="117"/>
      <c r="Q1" s="117"/>
    </row>
    <row r="2" spans="1:22" ht="16.5" customHeight="1" thickBot="1" x14ac:dyDescent="0.25">
      <c r="A2" s="132" t="s">
        <v>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</row>
    <row r="3" spans="1:22" s="4" customFormat="1" ht="13.5" customHeight="1" x14ac:dyDescent="0.2">
      <c r="A3" s="12" t="s">
        <v>1</v>
      </c>
      <c r="B3" s="15"/>
      <c r="C3" s="12" t="s">
        <v>2</v>
      </c>
      <c r="D3" s="16"/>
      <c r="E3" s="16"/>
      <c r="F3" s="13"/>
      <c r="G3" s="13"/>
      <c r="H3" s="13"/>
      <c r="I3" s="13"/>
      <c r="J3" s="14"/>
      <c r="K3" s="14"/>
      <c r="L3" s="77" t="s">
        <v>35</v>
      </c>
      <c r="M3" s="14"/>
      <c r="N3" s="13"/>
      <c r="O3" s="13"/>
      <c r="P3" s="42" t="s">
        <v>14</v>
      </c>
      <c r="Q3" s="15"/>
      <c r="S3" s="5"/>
      <c r="T3" s="5"/>
      <c r="U3" s="5"/>
      <c r="V3" s="5"/>
    </row>
    <row r="4" spans="1:22" s="6" customFormat="1" ht="21" thickBot="1" x14ac:dyDescent="0.25">
      <c r="A4" s="33" t="str">
        <f>'02'!A4</f>
        <v>Benoit Beauchemin</v>
      </c>
      <c r="B4" s="17"/>
      <c r="C4" s="44"/>
      <c r="D4" s="9" t="s">
        <v>3</v>
      </c>
      <c r="E4" s="136">
        <f>('02'!E4:G4)-7</f>
        <v>43835</v>
      </c>
      <c r="F4" s="145"/>
      <c r="G4" s="145"/>
      <c r="H4" s="67" t="s">
        <v>4</v>
      </c>
      <c r="I4" s="136">
        <f>E4+6</f>
        <v>43841</v>
      </c>
      <c r="J4" s="137"/>
      <c r="K4" s="137"/>
      <c r="L4" s="76"/>
      <c r="M4" s="19"/>
      <c r="N4" s="78">
        <v>1</v>
      </c>
      <c r="O4" s="10"/>
      <c r="P4" s="43"/>
      <c r="Q4" s="18"/>
      <c r="S4" s="7"/>
      <c r="T4" s="7"/>
      <c r="U4" s="7"/>
      <c r="V4" s="7"/>
    </row>
    <row r="5" spans="1:22" x14ac:dyDescent="0.2">
      <c r="A5" s="26" t="s">
        <v>13</v>
      </c>
      <c r="B5" s="27" t="s">
        <v>18</v>
      </c>
      <c r="C5" s="138" t="s">
        <v>5</v>
      </c>
      <c r="D5" s="139"/>
      <c r="E5" s="138" t="s">
        <v>6</v>
      </c>
      <c r="F5" s="139"/>
      <c r="G5" s="140" t="s">
        <v>7</v>
      </c>
      <c r="H5" s="141"/>
      <c r="I5" s="138" t="s">
        <v>8</v>
      </c>
      <c r="J5" s="139"/>
      <c r="K5" s="138" t="s">
        <v>9</v>
      </c>
      <c r="L5" s="141"/>
      <c r="M5" s="138" t="s">
        <v>10</v>
      </c>
      <c r="N5" s="139"/>
      <c r="O5" s="138" t="s">
        <v>11</v>
      </c>
      <c r="P5" s="139"/>
      <c r="Q5" s="130" t="s">
        <v>17</v>
      </c>
      <c r="S5" s="1"/>
      <c r="T5" s="1"/>
      <c r="U5" s="1"/>
      <c r="V5" s="1"/>
    </row>
    <row r="6" spans="1:22" x14ac:dyDescent="0.2">
      <c r="A6" s="22"/>
      <c r="B6" s="8"/>
      <c r="C6" s="52" t="s">
        <v>15</v>
      </c>
      <c r="D6" s="45" t="s">
        <v>16</v>
      </c>
      <c r="E6" s="52" t="s">
        <v>15</v>
      </c>
      <c r="F6" s="45" t="s">
        <v>16</v>
      </c>
      <c r="G6" s="52" t="s">
        <v>15</v>
      </c>
      <c r="H6" s="45" t="s">
        <v>16</v>
      </c>
      <c r="I6" s="52" t="s">
        <v>15</v>
      </c>
      <c r="J6" s="45" t="s">
        <v>16</v>
      </c>
      <c r="K6" s="52" t="s">
        <v>15</v>
      </c>
      <c r="L6" s="45" t="s">
        <v>16</v>
      </c>
      <c r="M6" s="52" t="s">
        <v>15</v>
      </c>
      <c r="N6" s="45" t="s">
        <v>16</v>
      </c>
      <c r="O6" s="52" t="s">
        <v>15</v>
      </c>
      <c r="P6" s="45" t="s">
        <v>16</v>
      </c>
      <c r="Q6" s="131"/>
      <c r="S6" s="1"/>
      <c r="T6" s="1"/>
      <c r="U6" s="1"/>
      <c r="V6" s="1"/>
    </row>
    <row r="7" spans="1:22" ht="17.25" customHeight="1" x14ac:dyDescent="0.2">
      <c r="A7" s="119" t="s">
        <v>41</v>
      </c>
      <c r="B7" s="81" t="s">
        <v>43</v>
      </c>
      <c r="C7" s="47"/>
      <c r="D7" s="40"/>
      <c r="E7" s="54" t="s">
        <v>36</v>
      </c>
      <c r="F7" s="40">
        <v>4</v>
      </c>
      <c r="G7" s="61" t="s">
        <v>36</v>
      </c>
      <c r="H7" s="59">
        <v>9</v>
      </c>
      <c r="I7" s="54" t="s">
        <v>36</v>
      </c>
      <c r="J7" s="40">
        <v>4</v>
      </c>
      <c r="K7" s="54" t="s">
        <v>36</v>
      </c>
      <c r="L7" s="59">
        <v>4</v>
      </c>
      <c r="M7" s="54" t="s">
        <v>36</v>
      </c>
      <c r="N7" s="40">
        <v>4</v>
      </c>
      <c r="O7" s="54"/>
      <c r="P7" s="40"/>
      <c r="Q7" s="46">
        <f>SUM(P7,N7,L7,J7,H7,F7,D7)</f>
        <v>25</v>
      </c>
      <c r="S7" s="1"/>
    </row>
    <row r="8" spans="1:22" ht="17.25" customHeight="1" x14ac:dyDescent="0.2">
      <c r="A8" s="84" t="s">
        <v>42</v>
      </c>
      <c r="B8" s="82" t="s">
        <v>44</v>
      </c>
      <c r="C8" s="48"/>
      <c r="D8" s="20"/>
      <c r="E8" s="55" t="s">
        <v>36</v>
      </c>
      <c r="F8" s="20">
        <v>4</v>
      </c>
      <c r="G8" s="62"/>
      <c r="H8" s="36"/>
      <c r="I8" s="55"/>
      <c r="J8" s="20"/>
      <c r="K8" s="55"/>
      <c r="L8" s="36"/>
      <c r="M8" s="55"/>
      <c r="N8" s="20"/>
      <c r="O8" s="55"/>
      <c r="P8" s="20"/>
      <c r="Q8" s="46">
        <f t="shared" ref="Q8:Q28" si="0">SUM(P8,N8,L8,J8,H8,F8,D8)</f>
        <v>4</v>
      </c>
      <c r="S8" s="1"/>
    </row>
    <row r="9" spans="1:22" ht="17.25" customHeight="1" x14ac:dyDescent="0.2">
      <c r="A9" s="28" t="s">
        <v>46</v>
      </c>
      <c r="B9" s="32" t="s">
        <v>47</v>
      </c>
      <c r="C9" s="49"/>
      <c r="D9" s="41"/>
      <c r="E9" s="56"/>
      <c r="F9" s="41"/>
      <c r="G9" s="63"/>
      <c r="H9" s="60"/>
      <c r="I9" s="56" t="s">
        <v>37</v>
      </c>
      <c r="J9" s="41">
        <v>0.5</v>
      </c>
      <c r="K9" s="56"/>
      <c r="L9" s="60"/>
      <c r="M9" s="56"/>
      <c r="N9" s="41"/>
      <c r="O9" s="56"/>
      <c r="P9" s="41"/>
      <c r="Q9" s="46">
        <f t="shared" si="0"/>
        <v>0.5</v>
      </c>
      <c r="S9" s="1"/>
    </row>
    <row r="10" spans="1:22" ht="17.25" customHeight="1" x14ac:dyDescent="0.2">
      <c r="A10" s="29" t="s">
        <v>45</v>
      </c>
      <c r="B10" s="32"/>
      <c r="C10" s="48"/>
      <c r="D10" s="31"/>
      <c r="E10" s="57"/>
      <c r="F10" s="31"/>
      <c r="G10" s="64"/>
      <c r="H10" s="37"/>
      <c r="I10" s="57"/>
      <c r="J10" s="31">
        <v>4.5</v>
      </c>
      <c r="K10" s="57"/>
      <c r="L10" s="37">
        <v>2</v>
      </c>
      <c r="M10" s="57"/>
      <c r="N10" s="31"/>
      <c r="O10" s="57"/>
      <c r="P10" s="31"/>
      <c r="Q10" s="46">
        <f t="shared" si="0"/>
        <v>6.5</v>
      </c>
      <c r="S10" s="1"/>
    </row>
    <row r="11" spans="1:22" ht="17.25" customHeight="1" x14ac:dyDescent="0.2">
      <c r="A11" s="28" t="s">
        <v>41</v>
      </c>
      <c r="B11" s="79" t="s">
        <v>43</v>
      </c>
      <c r="C11" s="49"/>
      <c r="D11" s="41"/>
      <c r="E11" s="56"/>
      <c r="F11" s="41"/>
      <c r="G11" s="63"/>
      <c r="H11" s="60"/>
      <c r="I11" s="56"/>
      <c r="J11" s="41"/>
      <c r="K11" s="56" t="s">
        <v>37</v>
      </c>
      <c r="L11" s="60">
        <v>3</v>
      </c>
      <c r="M11" s="56"/>
      <c r="N11" s="41"/>
      <c r="O11" s="56"/>
      <c r="P11" s="41"/>
      <c r="Q11" s="46">
        <f t="shared" si="0"/>
        <v>3</v>
      </c>
      <c r="S11" s="1"/>
    </row>
    <row r="12" spans="1:22" ht="17.25" customHeight="1" x14ac:dyDescent="0.2">
      <c r="A12" s="29"/>
      <c r="B12" s="30"/>
      <c r="C12" s="48"/>
      <c r="D12" s="31"/>
      <c r="E12" s="57"/>
      <c r="F12" s="31"/>
      <c r="G12" s="64"/>
      <c r="H12" s="37"/>
      <c r="I12" s="57"/>
      <c r="J12" s="31"/>
      <c r="K12" s="57"/>
      <c r="L12" s="37"/>
      <c r="M12" s="57"/>
      <c r="N12" s="31"/>
      <c r="O12" s="57"/>
      <c r="P12" s="31"/>
      <c r="Q12" s="46">
        <f t="shared" si="0"/>
        <v>0</v>
      </c>
      <c r="S12" s="1"/>
    </row>
    <row r="13" spans="1:22" ht="17.25" customHeight="1" x14ac:dyDescent="0.2">
      <c r="A13" s="28"/>
      <c r="B13" s="32"/>
      <c r="C13" s="49"/>
      <c r="D13" s="41"/>
      <c r="E13" s="56"/>
      <c r="F13" s="41"/>
      <c r="G13" s="63"/>
      <c r="H13" s="60"/>
      <c r="I13" s="56"/>
      <c r="J13" s="41"/>
      <c r="K13" s="56"/>
      <c r="L13" s="60"/>
      <c r="M13" s="56"/>
      <c r="N13" s="41"/>
      <c r="O13" s="56"/>
      <c r="P13" s="41"/>
      <c r="Q13" s="46">
        <f t="shared" si="0"/>
        <v>0</v>
      </c>
      <c r="S13" s="1"/>
    </row>
    <row r="14" spans="1:22" ht="17.25" customHeight="1" x14ac:dyDescent="0.2">
      <c r="A14" s="29"/>
      <c r="B14" s="30"/>
      <c r="C14" s="48"/>
      <c r="D14" s="31"/>
      <c r="E14" s="57"/>
      <c r="F14" s="31"/>
      <c r="G14" s="64"/>
      <c r="H14" s="37"/>
      <c r="I14" s="57"/>
      <c r="J14" s="31"/>
      <c r="K14" s="57"/>
      <c r="L14" s="37"/>
      <c r="M14" s="57"/>
      <c r="N14" s="31"/>
      <c r="O14" s="57"/>
      <c r="P14" s="31"/>
      <c r="Q14" s="46">
        <f t="shared" si="0"/>
        <v>0</v>
      </c>
      <c r="S14" s="1"/>
    </row>
    <row r="15" spans="1:22" ht="17.25" customHeight="1" x14ac:dyDescent="0.2">
      <c r="A15" s="28"/>
      <c r="B15" s="79"/>
      <c r="C15" s="49"/>
      <c r="D15" s="41"/>
      <c r="E15" s="56"/>
      <c r="F15" s="41"/>
      <c r="G15" s="63"/>
      <c r="H15" s="60"/>
      <c r="I15" s="56"/>
      <c r="J15" s="41"/>
      <c r="K15" s="56"/>
      <c r="L15" s="60"/>
      <c r="M15" s="56"/>
      <c r="N15" s="41"/>
      <c r="O15" s="56"/>
      <c r="P15" s="41"/>
      <c r="Q15" s="46">
        <f t="shared" si="0"/>
        <v>0</v>
      </c>
      <c r="S15" s="1"/>
    </row>
    <row r="16" spans="1:22" ht="17.25" customHeight="1" x14ac:dyDescent="0.2">
      <c r="A16" s="29"/>
      <c r="B16" s="30"/>
      <c r="C16" s="48"/>
      <c r="D16" s="31"/>
      <c r="E16" s="57"/>
      <c r="F16" s="31"/>
      <c r="G16" s="64"/>
      <c r="H16" s="37"/>
      <c r="I16" s="57"/>
      <c r="J16" s="31"/>
      <c r="K16" s="57"/>
      <c r="L16" s="37"/>
      <c r="M16" s="57"/>
      <c r="N16" s="31"/>
      <c r="O16" s="57"/>
      <c r="P16" s="31"/>
      <c r="Q16" s="46">
        <f t="shared" si="0"/>
        <v>0</v>
      </c>
      <c r="S16" s="1"/>
    </row>
    <row r="17" spans="1:19" ht="17.25" customHeight="1" x14ac:dyDescent="0.2">
      <c r="A17" s="28"/>
      <c r="B17" s="32"/>
      <c r="C17" s="49"/>
      <c r="D17" s="41"/>
      <c r="E17" s="56"/>
      <c r="F17" s="41"/>
      <c r="G17" s="63"/>
      <c r="H17" s="60"/>
      <c r="I17" s="56"/>
      <c r="J17" s="41"/>
      <c r="K17" s="56"/>
      <c r="L17" s="60"/>
      <c r="M17" s="56"/>
      <c r="N17" s="41"/>
      <c r="O17" s="56"/>
      <c r="P17" s="41"/>
      <c r="Q17" s="46">
        <f t="shared" si="0"/>
        <v>0</v>
      </c>
      <c r="S17" s="1"/>
    </row>
    <row r="18" spans="1:19" ht="17.25" customHeight="1" x14ac:dyDescent="0.2">
      <c r="A18" s="29"/>
      <c r="B18" s="82"/>
      <c r="C18" s="48"/>
      <c r="D18" s="31"/>
      <c r="E18" s="57"/>
      <c r="F18" s="31"/>
      <c r="G18" s="64"/>
      <c r="H18" s="37"/>
      <c r="I18" s="57"/>
      <c r="J18" s="31"/>
      <c r="K18" s="57"/>
      <c r="L18" s="37"/>
      <c r="M18" s="57"/>
      <c r="N18" s="31"/>
      <c r="O18" s="57"/>
      <c r="P18" s="31"/>
      <c r="Q18" s="46">
        <f t="shared" si="0"/>
        <v>0</v>
      </c>
      <c r="S18" s="1"/>
    </row>
    <row r="19" spans="1:19" ht="17.25" customHeight="1" x14ac:dyDescent="0.2">
      <c r="A19" s="28"/>
      <c r="B19" s="79"/>
      <c r="C19" s="49"/>
      <c r="D19" s="41"/>
      <c r="E19" s="56"/>
      <c r="F19" s="41"/>
      <c r="G19" s="63"/>
      <c r="H19" s="60"/>
      <c r="I19" s="56"/>
      <c r="J19" s="41"/>
      <c r="K19" s="56"/>
      <c r="L19" s="60"/>
      <c r="M19" s="56"/>
      <c r="N19" s="41"/>
      <c r="O19" s="56"/>
      <c r="P19" s="41"/>
      <c r="Q19" s="46">
        <f t="shared" si="0"/>
        <v>0</v>
      </c>
      <c r="S19" s="1"/>
    </row>
    <row r="20" spans="1:19" ht="17.25" customHeight="1" x14ac:dyDescent="0.2">
      <c r="A20" s="29"/>
      <c r="B20" s="30"/>
      <c r="C20" s="48"/>
      <c r="D20" s="31"/>
      <c r="E20" s="57"/>
      <c r="F20" s="31"/>
      <c r="G20" s="64"/>
      <c r="H20" s="37"/>
      <c r="I20" s="57"/>
      <c r="J20" s="31"/>
      <c r="K20" s="57"/>
      <c r="L20" s="37"/>
      <c r="M20" s="57"/>
      <c r="N20" s="31"/>
      <c r="O20" s="57"/>
      <c r="P20" s="31"/>
      <c r="Q20" s="46">
        <f t="shared" si="0"/>
        <v>0</v>
      </c>
      <c r="S20" s="1"/>
    </row>
    <row r="21" spans="1:19" ht="17.25" customHeight="1" x14ac:dyDescent="0.2">
      <c r="A21" s="28"/>
      <c r="B21" s="79"/>
      <c r="C21" s="49"/>
      <c r="D21" s="41"/>
      <c r="E21" s="56"/>
      <c r="F21" s="41"/>
      <c r="G21" s="63"/>
      <c r="H21" s="60"/>
      <c r="I21" s="56"/>
      <c r="J21" s="41"/>
      <c r="K21" s="56"/>
      <c r="L21" s="60"/>
      <c r="M21" s="56"/>
      <c r="N21" s="41"/>
      <c r="O21" s="56"/>
      <c r="P21" s="41"/>
      <c r="Q21" s="46">
        <f t="shared" si="0"/>
        <v>0</v>
      </c>
      <c r="S21" s="1"/>
    </row>
    <row r="22" spans="1:19" ht="17.25" customHeight="1" x14ac:dyDescent="0.2">
      <c r="A22" s="29"/>
      <c r="B22" s="30"/>
      <c r="C22" s="48"/>
      <c r="D22" s="31"/>
      <c r="E22" s="57"/>
      <c r="F22" s="31"/>
      <c r="G22" s="64"/>
      <c r="H22" s="37"/>
      <c r="I22" s="57"/>
      <c r="J22" s="31"/>
      <c r="K22" s="57"/>
      <c r="L22" s="37"/>
      <c r="M22" s="57"/>
      <c r="N22" s="31"/>
      <c r="O22" s="57"/>
      <c r="P22" s="31"/>
      <c r="Q22" s="46">
        <f t="shared" si="0"/>
        <v>0</v>
      </c>
      <c r="S22" s="1"/>
    </row>
    <row r="23" spans="1:19" ht="17.25" customHeight="1" x14ac:dyDescent="0.2">
      <c r="A23" s="28"/>
      <c r="B23" s="80"/>
      <c r="C23" s="49"/>
      <c r="D23" s="41"/>
      <c r="E23" s="56"/>
      <c r="F23" s="41"/>
      <c r="G23" s="63"/>
      <c r="H23" s="60"/>
      <c r="I23" s="56"/>
      <c r="J23" s="41"/>
      <c r="K23" s="56"/>
      <c r="L23" s="60"/>
      <c r="M23" s="56"/>
      <c r="N23" s="41"/>
      <c r="O23" s="56"/>
      <c r="P23" s="41"/>
      <c r="Q23" s="46">
        <f t="shared" si="0"/>
        <v>0</v>
      </c>
      <c r="S23" s="1"/>
    </row>
    <row r="24" spans="1:19" ht="17.25" customHeight="1" x14ac:dyDescent="0.2">
      <c r="A24" s="29"/>
      <c r="B24" s="30"/>
      <c r="C24" s="48"/>
      <c r="D24" s="31"/>
      <c r="E24" s="57"/>
      <c r="F24" s="31"/>
      <c r="G24" s="64"/>
      <c r="H24" s="37"/>
      <c r="I24" s="57"/>
      <c r="J24" s="31"/>
      <c r="K24" s="57"/>
      <c r="L24" s="37"/>
      <c r="M24" s="57"/>
      <c r="N24" s="31"/>
      <c r="O24" s="57"/>
      <c r="P24" s="31"/>
      <c r="Q24" s="46">
        <f t="shared" si="0"/>
        <v>0</v>
      </c>
      <c r="S24" s="1"/>
    </row>
    <row r="25" spans="1:19" ht="17.25" customHeight="1" x14ac:dyDescent="0.2">
      <c r="A25" s="28"/>
      <c r="B25" s="32"/>
      <c r="C25" s="49"/>
      <c r="D25" s="41"/>
      <c r="E25" s="56"/>
      <c r="F25" s="41"/>
      <c r="G25" s="63"/>
      <c r="H25" s="60"/>
      <c r="I25" s="56"/>
      <c r="J25" s="41"/>
      <c r="K25" s="56"/>
      <c r="L25" s="60"/>
      <c r="M25" s="56"/>
      <c r="N25" s="41"/>
      <c r="O25" s="56"/>
      <c r="P25" s="41"/>
      <c r="Q25" s="46">
        <f t="shared" si="0"/>
        <v>0</v>
      </c>
      <c r="S25" s="1"/>
    </row>
    <row r="26" spans="1:19" ht="17.25" customHeight="1" x14ac:dyDescent="0.2">
      <c r="A26" s="29"/>
      <c r="B26" s="30"/>
      <c r="C26" s="48"/>
      <c r="D26" s="31"/>
      <c r="E26" s="57"/>
      <c r="F26" s="31"/>
      <c r="G26" s="64"/>
      <c r="H26" s="37"/>
      <c r="I26" s="57"/>
      <c r="J26" s="31"/>
      <c r="K26" s="57"/>
      <c r="L26" s="37"/>
      <c r="M26" s="57"/>
      <c r="N26" s="31"/>
      <c r="O26" s="57"/>
      <c r="P26" s="31"/>
      <c r="Q26" s="46">
        <f t="shared" si="0"/>
        <v>0</v>
      </c>
      <c r="S26" s="1"/>
    </row>
    <row r="27" spans="1:19" ht="17.25" customHeight="1" x14ac:dyDescent="0.2">
      <c r="A27" s="28"/>
      <c r="B27" s="32"/>
      <c r="C27" s="49"/>
      <c r="D27" s="41"/>
      <c r="E27" s="56"/>
      <c r="F27" s="41"/>
      <c r="G27" s="63"/>
      <c r="H27" s="60"/>
      <c r="I27" s="56"/>
      <c r="J27" s="41"/>
      <c r="K27" s="56"/>
      <c r="L27" s="60"/>
      <c r="M27" s="56"/>
      <c r="N27" s="41"/>
      <c r="O27" s="56"/>
      <c r="P27" s="41"/>
      <c r="Q27" s="46">
        <f t="shared" si="0"/>
        <v>0</v>
      </c>
      <c r="S27" s="1"/>
    </row>
    <row r="28" spans="1:19" ht="17.25" customHeight="1" thickBot="1" x14ac:dyDescent="0.25">
      <c r="A28" s="25"/>
      <c r="B28" s="30"/>
      <c r="C28" s="50"/>
      <c r="D28" s="21"/>
      <c r="E28" s="58"/>
      <c r="F28" s="53"/>
      <c r="G28" s="65"/>
      <c r="H28" s="38"/>
      <c r="I28" s="66"/>
      <c r="J28" s="53"/>
      <c r="K28" s="66"/>
      <c r="L28" s="38"/>
      <c r="M28" s="66"/>
      <c r="N28" s="53"/>
      <c r="O28" s="66"/>
      <c r="P28" s="21"/>
      <c r="Q28" s="72">
        <f t="shared" si="0"/>
        <v>0</v>
      </c>
    </row>
    <row r="29" spans="1:19" ht="23.25" customHeight="1" thickBot="1" x14ac:dyDescent="0.25">
      <c r="A29" s="34"/>
      <c r="B29" s="35" t="s">
        <v>12</v>
      </c>
      <c r="C29" s="51"/>
      <c r="D29" s="39">
        <f t="shared" ref="D29:Q29" si="1">SUM(D7:D28)</f>
        <v>0</v>
      </c>
      <c r="E29" s="69"/>
      <c r="F29" s="70">
        <f t="shared" si="1"/>
        <v>8</v>
      </c>
      <c r="G29" s="68"/>
      <c r="H29" s="71">
        <f t="shared" si="1"/>
        <v>9</v>
      </c>
      <c r="I29" s="69"/>
      <c r="J29" s="70">
        <f t="shared" si="1"/>
        <v>9</v>
      </c>
      <c r="K29" s="69"/>
      <c r="L29" s="70">
        <f t="shared" si="1"/>
        <v>9</v>
      </c>
      <c r="M29" s="69"/>
      <c r="N29" s="70">
        <f t="shared" si="1"/>
        <v>4</v>
      </c>
      <c r="O29" s="69"/>
      <c r="P29" s="70">
        <f t="shared" si="1"/>
        <v>0</v>
      </c>
      <c r="Q29" s="73">
        <f t="shared" si="1"/>
        <v>39</v>
      </c>
    </row>
    <row r="31" spans="1:19" x14ac:dyDescent="0.2">
      <c r="A31" s="74"/>
      <c r="B31" s="3" t="s">
        <v>19</v>
      </c>
      <c r="C31" s="74" t="s">
        <v>22</v>
      </c>
      <c r="G31" s="3" t="s">
        <v>25</v>
      </c>
      <c r="H31" s="74"/>
      <c r="K31" s="74" t="s">
        <v>28</v>
      </c>
      <c r="N31" s="74" t="s">
        <v>31</v>
      </c>
    </row>
    <row r="32" spans="1:19" x14ac:dyDescent="0.2">
      <c r="A32" s="74"/>
      <c r="B32" s="3" t="s">
        <v>20</v>
      </c>
      <c r="C32" s="74" t="s">
        <v>23</v>
      </c>
      <c r="G32" s="74" t="s">
        <v>26</v>
      </c>
      <c r="H32" s="74"/>
      <c r="K32" s="74" t="s">
        <v>29</v>
      </c>
      <c r="N32" s="74" t="s">
        <v>32</v>
      </c>
    </row>
    <row r="33" spans="1:14" x14ac:dyDescent="0.2">
      <c r="A33" s="74"/>
      <c r="B33" s="3" t="s">
        <v>21</v>
      </c>
      <c r="C33" s="74" t="s">
        <v>24</v>
      </c>
      <c r="G33" s="74" t="s">
        <v>27</v>
      </c>
      <c r="H33" s="74"/>
      <c r="K33" s="74" t="s">
        <v>30</v>
      </c>
      <c r="N33" s="74" t="s">
        <v>33</v>
      </c>
    </row>
    <row r="34" spans="1:14" x14ac:dyDescent="0.2">
      <c r="K34" s="75"/>
      <c r="N34" s="75" t="s">
        <v>34</v>
      </c>
    </row>
  </sheetData>
  <mergeCells count="11">
    <mergeCell ref="O5:P5"/>
    <mergeCell ref="Q5:Q6"/>
    <mergeCell ref="A2:Q2"/>
    <mergeCell ref="E4:G4"/>
    <mergeCell ref="I4:K4"/>
    <mergeCell ref="C5:D5"/>
    <mergeCell ref="E5:F5"/>
    <mergeCell ref="G5:H5"/>
    <mergeCell ref="I5:J5"/>
    <mergeCell ref="K5:L5"/>
    <mergeCell ref="M5:N5"/>
  </mergeCells>
  <printOptions horizontalCentered="1" verticalCentered="1"/>
  <pageMargins left="0.19685039370078741" right="0.19685039370078741" top="0.19685039370078741" bottom="0.19685039370078741" header="0" footer="0.11811023622047245"/>
  <pageSetup orientation="landscape" r:id="rId1"/>
  <headerFooter alignWithMargins="0">
    <oddFooter>&amp;L&amp;F&amp;CPage &amp;P&amp;R&amp;A</oddFooter>
  </headerFooter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Feuil53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53</vt:i4>
      </vt:variant>
    </vt:vector>
  </HeadingPairs>
  <TitlesOfParts>
    <vt:vector size="53" baseType="lpstr">
      <vt:lpstr>52</vt:lpstr>
      <vt:lpstr>51</vt:lpstr>
      <vt:lpstr>50</vt:lpstr>
      <vt:lpstr>49</vt:lpstr>
      <vt:lpstr>48</vt:lpstr>
      <vt:lpstr>47</vt:lpstr>
      <vt:lpstr>46</vt:lpstr>
      <vt:lpstr>45</vt:lpstr>
      <vt:lpstr>44</vt:lpstr>
      <vt:lpstr>43</vt:lpstr>
      <vt:lpstr>42</vt:lpstr>
      <vt:lpstr>41</vt:lpstr>
      <vt:lpstr>40</vt:lpstr>
      <vt:lpstr>39</vt:lpstr>
      <vt:lpstr>38</vt:lpstr>
      <vt:lpstr>37</vt:lpstr>
      <vt:lpstr>36</vt:lpstr>
      <vt:lpstr>35</vt:lpstr>
      <vt:lpstr>34</vt:lpstr>
      <vt:lpstr>33</vt:lpstr>
      <vt:lpstr>32</vt:lpstr>
      <vt:lpstr>31</vt:lpstr>
      <vt:lpstr>30</vt:lpstr>
      <vt:lpstr>29</vt:lpstr>
      <vt:lpstr>28</vt:lpstr>
      <vt:lpstr>27</vt:lpstr>
      <vt:lpstr>26</vt:lpstr>
      <vt:lpstr>25</vt:lpstr>
      <vt:lpstr>24</vt:lpstr>
      <vt:lpstr>23</vt:lpstr>
      <vt:lpstr>22</vt:lpstr>
      <vt:lpstr>21</vt:lpstr>
      <vt:lpstr>20</vt:lpstr>
      <vt:lpstr>19</vt:lpstr>
      <vt:lpstr>18</vt:lpstr>
      <vt:lpstr>17</vt:lpstr>
      <vt:lpstr>16</vt:lpstr>
      <vt:lpstr>15</vt:lpstr>
      <vt:lpstr>14</vt:lpstr>
      <vt:lpstr>13</vt:lpstr>
      <vt:lpstr>12</vt:lpstr>
      <vt:lpstr>11</vt:lpstr>
      <vt:lpstr>10</vt:lpstr>
      <vt:lpstr>09</vt:lpstr>
      <vt:lpstr>08</vt:lpstr>
      <vt:lpstr>07</vt:lpstr>
      <vt:lpstr>06</vt:lpstr>
      <vt:lpstr>05</vt:lpstr>
      <vt:lpstr>04</vt:lpstr>
      <vt:lpstr>03</vt:lpstr>
      <vt:lpstr>02</vt:lpstr>
      <vt:lpstr>01</vt:lpstr>
      <vt:lpstr>Feuil1</vt:lpstr>
    </vt:vector>
  </TitlesOfParts>
  <Manager>Daniel Smith</Manager>
  <Company>ISPAT SIDBEC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de temps du service de l'ingénierie</dc:title>
  <dc:subject>AN 2000</dc:subject>
  <dc:creator>Project Engineer</dc:creator>
  <cp:keywords>Feuille de temps</cp:keywords>
  <cp:lastModifiedBy>Utilisateur</cp:lastModifiedBy>
  <cp:lastPrinted>2020-03-23T22:29:28Z</cp:lastPrinted>
  <dcterms:created xsi:type="dcterms:W3CDTF">1999-08-11T20:08:39Z</dcterms:created>
  <dcterms:modified xsi:type="dcterms:W3CDTF">2020-09-30T11:54:27Z</dcterms:modified>
  <cp:category>Documents</cp:category>
</cp:coreProperties>
</file>